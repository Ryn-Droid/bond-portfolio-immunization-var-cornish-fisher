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wnloads\"/>
    </mc:Choice>
  </mc:AlternateContent>
  <xr:revisionPtr revIDLastSave="0" documentId="8_{3A3E431F-A973-4E65-A1C2-CE172F6B1A17}" xr6:coauthVersionLast="47" xr6:coauthVersionMax="47" xr10:uidLastSave="{00000000-0000-0000-0000-000000000000}"/>
  <bookViews>
    <workbookView xWindow="-108" yWindow="-108" windowWidth="23256" windowHeight="13896" firstSheet="1" activeTab="5" xr2:uid="{FEFDAD68-5119-435C-97C6-ED5CDF4791BD}"/>
  </bookViews>
  <sheets>
    <sheet name="Perhitungan" sheetId="1" r:id="rId1"/>
    <sheet name="Simulasi Obligasi" sheetId="2" r:id="rId2"/>
    <sheet name="VaR" sheetId="3" r:id="rId3"/>
    <sheet name="Korelasi" sheetId="5" r:id="rId4"/>
    <sheet name="Backtesting" sheetId="4" r:id="rId5"/>
    <sheet name="Simulasi Obligasi (Opsi)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8" i="6" l="1"/>
  <c r="D38" i="6" s="1"/>
  <c r="B38" i="6"/>
  <c r="D52" i="6"/>
  <c r="D53" i="6"/>
  <c r="D51" i="6"/>
  <c r="J47" i="6"/>
  <c r="J46" i="6"/>
  <c r="V82" i="6"/>
  <c r="V81" i="6"/>
  <c r="P62" i="6"/>
  <c r="P61" i="6"/>
  <c r="N17" i="6"/>
  <c r="O33" i="6"/>
  <c r="P33" i="6" s="1"/>
  <c r="T17" i="6"/>
  <c r="H17" i="6"/>
  <c r="I31" i="6" s="1"/>
  <c r="J31" i="6" s="1"/>
  <c r="B17" i="6"/>
  <c r="C23" i="2"/>
  <c r="G58" i="2"/>
  <c r="D42" i="6"/>
  <c r="B15" i="6"/>
  <c r="D28" i="6"/>
  <c r="D30" i="6"/>
  <c r="D32" i="6"/>
  <c r="D33" i="6"/>
  <c r="D36" i="6"/>
  <c r="C27" i="6"/>
  <c r="D27" i="6" s="1"/>
  <c r="C28" i="6"/>
  <c r="C29" i="6"/>
  <c r="D29" i="6" s="1"/>
  <c r="C30" i="6"/>
  <c r="C31" i="6"/>
  <c r="D31" i="6" s="1"/>
  <c r="C32" i="6"/>
  <c r="C33" i="6"/>
  <c r="C34" i="6"/>
  <c r="D34" i="6" s="1"/>
  <c r="C35" i="6"/>
  <c r="D35" i="6" s="1"/>
  <c r="C36" i="6"/>
  <c r="C37" i="6"/>
  <c r="D37" i="6" s="1"/>
  <c r="B27" i="6"/>
  <c r="B28" i="6"/>
  <c r="B29" i="6"/>
  <c r="B30" i="6"/>
  <c r="B31" i="6"/>
  <c r="B32" i="6"/>
  <c r="B33" i="6"/>
  <c r="B34" i="6"/>
  <c r="B35" i="6"/>
  <c r="B36" i="6"/>
  <c r="B37" i="6"/>
  <c r="B26" i="6"/>
  <c r="U31" i="6"/>
  <c r="V31" i="6" s="1"/>
  <c r="U32" i="6"/>
  <c r="V32" i="6" s="1"/>
  <c r="U33" i="6"/>
  <c r="V33" i="6" s="1"/>
  <c r="U34" i="6"/>
  <c r="V34" i="6" s="1"/>
  <c r="U35" i="6"/>
  <c r="V35" i="6" s="1"/>
  <c r="T31" i="6"/>
  <c r="T32" i="6"/>
  <c r="T33" i="6"/>
  <c r="T34" i="6"/>
  <c r="T35" i="6"/>
  <c r="O31" i="6"/>
  <c r="P31" i="6" s="1"/>
  <c r="O32" i="6"/>
  <c r="P32" i="6" s="1"/>
  <c r="O34" i="6"/>
  <c r="P34" i="6" s="1"/>
  <c r="O35" i="6"/>
  <c r="P35" i="6" s="1"/>
  <c r="N31" i="6"/>
  <c r="N32" i="6"/>
  <c r="N33" i="6"/>
  <c r="N34" i="6"/>
  <c r="N35" i="6"/>
  <c r="J33" i="6"/>
  <c r="I33" i="6"/>
  <c r="I34" i="6"/>
  <c r="J34" i="6" s="1"/>
  <c r="I35" i="6"/>
  <c r="J35" i="6" s="1"/>
  <c r="H31" i="6"/>
  <c r="H32" i="6"/>
  <c r="H33" i="6"/>
  <c r="H34" i="6"/>
  <c r="H35" i="6"/>
  <c r="I23" i="2"/>
  <c r="N15" i="6"/>
  <c r="N16" i="6"/>
  <c r="N18" i="6"/>
  <c r="N19" i="6"/>
  <c r="N23" i="6"/>
  <c r="O23" i="6"/>
  <c r="P23" i="6" s="1"/>
  <c r="N24" i="6"/>
  <c r="O24" i="6"/>
  <c r="P24" i="6" s="1"/>
  <c r="N25" i="6"/>
  <c r="O25" i="6"/>
  <c r="P25" i="6"/>
  <c r="N26" i="6"/>
  <c r="O26" i="6"/>
  <c r="P26" i="6"/>
  <c r="N27" i="6"/>
  <c r="O27" i="6"/>
  <c r="P27" i="6" s="1"/>
  <c r="N28" i="6"/>
  <c r="O28" i="6"/>
  <c r="P28" i="6" s="1"/>
  <c r="N29" i="6"/>
  <c r="O29" i="6"/>
  <c r="P29" i="6" s="1"/>
  <c r="N30" i="6"/>
  <c r="O30" i="6"/>
  <c r="P30" i="6"/>
  <c r="N36" i="6"/>
  <c r="O36" i="6"/>
  <c r="P36" i="6" s="1"/>
  <c r="N37" i="6"/>
  <c r="O37" i="6"/>
  <c r="P37" i="6" s="1"/>
  <c r="N38" i="6"/>
  <c r="O38" i="6"/>
  <c r="P38" i="6"/>
  <c r="N39" i="6"/>
  <c r="O39" i="6"/>
  <c r="P39" i="6" s="1"/>
  <c r="N40" i="6"/>
  <c r="O40" i="6"/>
  <c r="P40" i="6"/>
  <c r="N41" i="6"/>
  <c r="O41" i="6"/>
  <c r="P41" i="6"/>
  <c r="N42" i="6"/>
  <c r="O42" i="6"/>
  <c r="P42" i="6" s="1"/>
  <c r="N43" i="6"/>
  <c r="O43" i="6"/>
  <c r="P43" i="6" s="1"/>
  <c r="N44" i="6"/>
  <c r="O44" i="6"/>
  <c r="P44" i="6" s="1"/>
  <c r="N45" i="6"/>
  <c r="N46" i="6"/>
  <c r="N47" i="6"/>
  <c r="O47" i="6"/>
  <c r="P47" i="6" s="1"/>
  <c r="N48" i="6"/>
  <c r="O48" i="6"/>
  <c r="P48" i="6" s="1"/>
  <c r="N49" i="6"/>
  <c r="O49" i="6"/>
  <c r="P49" i="6" s="1"/>
  <c r="N50" i="6"/>
  <c r="O50" i="6"/>
  <c r="P50" i="6" s="1"/>
  <c r="N51" i="6"/>
  <c r="O51" i="6"/>
  <c r="P51" i="6" s="1"/>
  <c r="N52" i="6"/>
  <c r="O52" i="6"/>
  <c r="P52" i="6"/>
  <c r="N53" i="6"/>
  <c r="O53" i="6"/>
  <c r="P53" i="6" s="1"/>
  <c r="N54" i="6"/>
  <c r="O54" i="6"/>
  <c r="P54" i="6" s="1"/>
  <c r="N55" i="6"/>
  <c r="O55" i="6"/>
  <c r="P55" i="6" s="1"/>
  <c r="N56" i="6"/>
  <c r="O56" i="6"/>
  <c r="P56" i="6" s="1"/>
  <c r="N57" i="6"/>
  <c r="O57" i="6"/>
  <c r="P57" i="6" s="1"/>
  <c r="B18" i="6"/>
  <c r="C126" i="6"/>
  <c r="E126" i="6" s="1"/>
  <c r="C125" i="6"/>
  <c r="E125" i="6" s="1"/>
  <c r="C123" i="6"/>
  <c r="E123" i="6" s="1"/>
  <c r="C122" i="6"/>
  <c r="E122" i="6" s="1"/>
  <c r="C120" i="6"/>
  <c r="E120" i="6" s="1"/>
  <c r="C119" i="6"/>
  <c r="E119" i="6" s="1"/>
  <c r="C117" i="6"/>
  <c r="E117" i="6" s="1"/>
  <c r="C116" i="6"/>
  <c r="E116" i="6" s="1"/>
  <c r="C114" i="6"/>
  <c r="E114" i="6" s="1"/>
  <c r="C113" i="6"/>
  <c r="E113" i="6" s="1"/>
  <c r="C111" i="6"/>
  <c r="E111" i="6" s="1"/>
  <c r="C110" i="6"/>
  <c r="E110" i="6" s="1"/>
  <c r="B59" i="6"/>
  <c r="G62" i="6" s="1"/>
  <c r="G58" i="6"/>
  <c r="B58" i="6"/>
  <c r="G61" i="6" s="1"/>
  <c r="G57" i="6"/>
  <c r="B57" i="6"/>
  <c r="G60" i="6" s="1"/>
  <c r="B56" i="6"/>
  <c r="G59" i="6" s="1"/>
  <c r="T18" i="6"/>
  <c r="T19" i="6" s="1"/>
  <c r="H18" i="6"/>
  <c r="H19" i="6" s="1"/>
  <c r="B19" i="6"/>
  <c r="T15" i="6"/>
  <c r="T16" i="6" s="1"/>
  <c r="T23" i="6" s="1"/>
  <c r="H15" i="6"/>
  <c r="H16" i="6" s="1"/>
  <c r="B16" i="6"/>
  <c r="C10" i="6"/>
  <c r="B10" i="6"/>
  <c r="D49" i="2"/>
  <c r="C67" i="2"/>
  <c r="C77" i="2"/>
  <c r="D77" i="2" s="1"/>
  <c r="C49" i="2"/>
  <c r="B67" i="2"/>
  <c r="B77" i="2"/>
  <c r="C92" i="2"/>
  <c r="C91" i="2"/>
  <c r="C97" i="2"/>
  <c r="G59" i="2"/>
  <c r="G60" i="2"/>
  <c r="G61" i="2"/>
  <c r="G62" i="2"/>
  <c r="G57" i="2"/>
  <c r="R103" i="3"/>
  <c r="S103" i="3"/>
  <c r="Q108" i="3"/>
  <c r="Q117" i="3"/>
  <c r="R108" i="3"/>
  <c r="Q109" i="3"/>
  <c r="R109" i="3"/>
  <c r="S109" i="3"/>
  <c r="Q110" i="3"/>
  <c r="R110" i="3"/>
  <c r="S110" i="3"/>
  <c r="Q111" i="3"/>
  <c r="Q120" i="3"/>
  <c r="R111" i="3"/>
  <c r="Q112" i="3"/>
  <c r="Q121" i="3"/>
  <c r="R112" i="3"/>
  <c r="Q113" i="3"/>
  <c r="R113" i="3"/>
  <c r="S113" i="3"/>
  <c r="Q118" i="3"/>
  <c r="Q119" i="3"/>
  <c r="Q122" i="3"/>
  <c r="B56" i="2"/>
  <c r="B26" i="2"/>
  <c r="B35" i="2"/>
  <c r="B34" i="2"/>
  <c r="B10" i="2"/>
  <c r="C116" i="2"/>
  <c r="C113" i="2"/>
  <c r="C110" i="2"/>
  <c r="B18" i="2"/>
  <c r="B17" i="2"/>
  <c r="B15" i="2"/>
  <c r="E123" i="2"/>
  <c r="E120" i="2"/>
  <c r="C122" i="2"/>
  <c r="E122" i="2"/>
  <c r="C119" i="2"/>
  <c r="E119" i="2"/>
  <c r="C125" i="2"/>
  <c r="E125" i="2"/>
  <c r="C120" i="2"/>
  <c r="C126" i="2"/>
  <c r="E126" i="2"/>
  <c r="C123" i="2"/>
  <c r="C117" i="2"/>
  <c r="C114" i="2"/>
  <c r="C111" i="2"/>
  <c r="T103" i="3"/>
  <c r="B59" i="2"/>
  <c r="B58" i="2"/>
  <c r="B57" i="2"/>
  <c r="K4" i="3"/>
  <c r="T18" i="2"/>
  <c r="T19" i="2"/>
  <c r="T17" i="2"/>
  <c r="T15" i="2"/>
  <c r="T16" i="2"/>
  <c r="T23" i="2"/>
  <c r="N18" i="2"/>
  <c r="N19" i="2"/>
  <c r="N17" i="2"/>
  <c r="N15" i="2"/>
  <c r="N16" i="2"/>
  <c r="N23" i="2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3" i="3"/>
  <c r="N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3" i="3"/>
  <c r="M4" i="3"/>
  <c r="X98" i="3" a="1"/>
  <c r="X98" i="3"/>
  <c r="T68" i="2"/>
  <c r="U68" i="2"/>
  <c r="V68" i="2"/>
  <c r="T69" i="2"/>
  <c r="U69" i="2"/>
  <c r="T70" i="2"/>
  <c r="U70" i="2"/>
  <c r="V70" i="2"/>
  <c r="T59" i="2"/>
  <c r="U59" i="2"/>
  <c r="V59" i="2"/>
  <c r="T60" i="2"/>
  <c r="U60" i="2"/>
  <c r="V60" i="2"/>
  <c r="T61" i="2"/>
  <c r="U61" i="2"/>
  <c r="V61" i="2"/>
  <c r="T66" i="2"/>
  <c r="U66" i="2"/>
  <c r="V66" i="2"/>
  <c r="T67" i="2"/>
  <c r="U67" i="2"/>
  <c r="V67" i="2"/>
  <c r="T64" i="2"/>
  <c r="U64" i="2"/>
  <c r="V64" i="2"/>
  <c r="T65" i="2"/>
  <c r="U65" i="2"/>
  <c r="V65" i="2"/>
  <c r="O23" i="2"/>
  <c r="T101" i="3"/>
  <c r="T102" i="3"/>
  <c r="U101" i="3"/>
  <c r="U102" i="3"/>
  <c r="U23" i="2"/>
  <c r="T25" i="2"/>
  <c r="U25" i="2"/>
  <c r="V25" i="2"/>
  <c r="T26" i="2"/>
  <c r="U26" i="2"/>
  <c r="V26" i="2"/>
  <c r="T27" i="2"/>
  <c r="U27" i="2"/>
  <c r="V27" i="2"/>
  <c r="T28" i="2"/>
  <c r="U28" i="2"/>
  <c r="V28" i="2"/>
  <c r="T29" i="2"/>
  <c r="U29" i="2"/>
  <c r="V29" i="2"/>
  <c r="T30" i="2"/>
  <c r="U30" i="2"/>
  <c r="V30" i="2"/>
  <c r="T31" i="2"/>
  <c r="U31" i="2"/>
  <c r="V31" i="2"/>
  <c r="T32" i="2"/>
  <c r="U32" i="2"/>
  <c r="V32" i="2"/>
  <c r="T33" i="2"/>
  <c r="U33" i="2"/>
  <c r="V33" i="2"/>
  <c r="T34" i="2"/>
  <c r="U34" i="2"/>
  <c r="V34" i="2"/>
  <c r="T35" i="2"/>
  <c r="U35" i="2"/>
  <c r="V35" i="2"/>
  <c r="T36" i="2"/>
  <c r="U36" i="2"/>
  <c r="V36" i="2"/>
  <c r="T37" i="2"/>
  <c r="U37" i="2"/>
  <c r="V37" i="2"/>
  <c r="T38" i="2"/>
  <c r="U38" i="2"/>
  <c r="V38" i="2"/>
  <c r="T39" i="2"/>
  <c r="U39" i="2"/>
  <c r="V39" i="2"/>
  <c r="T40" i="2"/>
  <c r="U40" i="2"/>
  <c r="V40" i="2"/>
  <c r="T41" i="2"/>
  <c r="U41" i="2"/>
  <c r="V41" i="2"/>
  <c r="T42" i="2"/>
  <c r="U42" i="2"/>
  <c r="V42" i="2"/>
  <c r="T43" i="2"/>
  <c r="U43" i="2"/>
  <c r="V43" i="2"/>
  <c r="T44" i="2"/>
  <c r="U44" i="2"/>
  <c r="V44" i="2"/>
  <c r="T45" i="2"/>
  <c r="U45" i="2"/>
  <c r="V45" i="2"/>
  <c r="T46" i="2"/>
  <c r="U46" i="2"/>
  <c r="V46" i="2"/>
  <c r="T47" i="2"/>
  <c r="U47" i="2"/>
  <c r="V47" i="2"/>
  <c r="T48" i="2"/>
  <c r="U48" i="2"/>
  <c r="V48" i="2"/>
  <c r="T49" i="2"/>
  <c r="U49" i="2"/>
  <c r="V49" i="2"/>
  <c r="T50" i="2"/>
  <c r="U50" i="2"/>
  <c r="V50" i="2"/>
  <c r="T51" i="2"/>
  <c r="U51" i="2"/>
  <c r="V51" i="2"/>
  <c r="T52" i="2"/>
  <c r="U52" i="2"/>
  <c r="V52" i="2"/>
  <c r="T53" i="2"/>
  <c r="U53" i="2"/>
  <c r="V53" i="2"/>
  <c r="T54" i="2"/>
  <c r="U54" i="2"/>
  <c r="V54" i="2"/>
  <c r="T55" i="2"/>
  <c r="U55" i="2"/>
  <c r="V55" i="2"/>
  <c r="T56" i="2"/>
  <c r="U56" i="2"/>
  <c r="V56" i="2"/>
  <c r="T57" i="2"/>
  <c r="U57" i="2"/>
  <c r="V57" i="2"/>
  <c r="T58" i="2"/>
  <c r="T62" i="2"/>
  <c r="U62" i="2"/>
  <c r="V62" i="2"/>
  <c r="T63" i="2"/>
  <c r="U63" i="2"/>
  <c r="V63" i="2"/>
  <c r="V69" i="2"/>
  <c r="T71" i="2"/>
  <c r="U71" i="2"/>
  <c r="V71" i="2"/>
  <c r="T72" i="2"/>
  <c r="U72" i="2"/>
  <c r="V72" i="2"/>
  <c r="T73" i="2"/>
  <c r="U73" i="2"/>
  <c r="V73" i="2"/>
  <c r="T74" i="2"/>
  <c r="U74" i="2"/>
  <c r="V74" i="2"/>
  <c r="T75" i="2"/>
  <c r="U75" i="2"/>
  <c r="V75" i="2"/>
  <c r="T76" i="2"/>
  <c r="T24" i="2"/>
  <c r="U24" i="2"/>
  <c r="V24" i="2"/>
  <c r="T99" i="3"/>
  <c r="T100" i="3"/>
  <c r="U99" i="3"/>
  <c r="U100" i="3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N24" i="2"/>
  <c r="O24" i="2"/>
  <c r="P24" i="2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3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3" i="3"/>
  <c r="E117" i="2"/>
  <c r="E116" i="2"/>
  <c r="E114" i="2"/>
  <c r="E113" i="2"/>
  <c r="E111" i="2"/>
  <c r="E110" i="2"/>
  <c r="H18" i="2"/>
  <c r="H19" i="2"/>
  <c r="B19" i="2"/>
  <c r="H17" i="2"/>
  <c r="H15" i="2"/>
  <c r="H16" i="2"/>
  <c r="H37" i="2"/>
  <c r="I37" i="2"/>
  <c r="J37" i="2"/>
  <c r="B16" i="2"/>
  <c r="B23" i="2"/>
  <c r="C10" i="2"/>
  <c r="D50" i="1"/>
  <c r="D48" i="1"/>
  <c r="B71" i="1"/>
  <c r="R99" i="3"/>
  <c r="R101" i="3"/>
  <c r="R100" i="3"/>
  <c r="S101" i="3"/>
  <c r="S99" i="3"/>
  <c r="S100" i="3"/>
  <c r="S102" i="3"/>
  <c r="R102" i="3"/>
  <c r="U58" i="2"/>
  <c r="U76" i="2"/>
  <c r="V76" i="2"/>
  <c r="T77" i="2"/>
  <c r="U77" i="2"/>
  <c r="V77" i="2"/>
  <c r="V23" i="2"/>
  <c r="N57" i="2"/>
  <c r="O57" i="2"/>
  <c r="P57" i="2"/>
  <c r="O56" i="2"/>
  <c r="P56" i="2"/>
  <c r="P23" i="2"/>
  <c r="H34" i="2"/>
  <c r="I34" i="2"/>
  <c r="J34" i="2"/>
  <c r="B24" i="2"/>
  <c r="C24" i="2"/>
  <c r="D24" i="2"/>
  <c r="D23" i="2"/>
  <c r="H38" i="2"/>
  <c r="I38" i="2"/>
  <c r="J38" i="2"/>
  <c r="H35" i="2"/>
  <c r="I35" i="2"/>
  <c r="J35" i="2"/>
  <c r="H40" i="2"/>
  <c r="I40" i="2"/>
  <c r="J40" i="2"/>
  <c r="H32" i="2"/>
  <c r="I32" i="2"/>
  <c r="J32" i="2"/>
  <c r="H24" i="2"/>
  <c r="H33" i="2"/>
  <c r="I33" i="2"/>
  <c r="J33" i="2"/>
  <c r="H25" i="2"/>
  <c r="I25" i="2"/>
  <c r="J25" i="2"/>
  <c r="H42" i="2"/>
  <c r="I42" i="2"/>
  <c r="J42" i="2"/>
  <c r="H41" i="2"/>
  <c r="I41" i="2"/>
  <c r="J41" i="2"/>
  <c r="H31" i="2"/>
  <c r="I31" i="2"/>
  <c r="J31" i="2"/>
  <c r="H27" i="2"/>
  <c r="I27" i="2"/>
  <c r="J27" i="2"/>
  <c r="H23" i="2"/>
  <c r="H36" i="2"/>
  <c r="I36" i="2"/>
  <c r="J36" i="2"/>
  <c r="H28" i="2"/>
  <c r="I28" i="2"/>
  <c r="J28" i="2"/>
  <c r="H39" i="2"/>
  <c r="I39" i="2"/>
  <c r="J39" i="2"/>
  <c r="H29" i="2"/>
  <c r="I29" i="2"/>
  <c r="J29" i="2"/>
  <c r="B25" i="2"/>
  <c r="C25" i="2"/>
  <c r="D25" i="2"/>
  <c r="C26" i="2"/>
  <c r="D26" i="2"/>
  <c r="H30" i="2"/>
  <c r="I30" i="2"/>
  <c r="J30" i="2"/>
  <c r="H26" i="2"/>
  <c r="I26" i="2"/>
  <c r="J26" i="2"/>
  <c r="P58" i="2"/>
  <c r="O58" i="2"/>
  <c r="U78" i="2"/>
  <c r="V58" i="2"/>
  <c r="V78" i="2"/>
  <c r="V79" i="2"/>
  <c r="V80" i="2"/>
  <c r="I24" i="2"/>
  <c r="J24" i="2"/>
  <c r="C27" i="2"/>
  <c r="D27" i="2"/>
  <c r="D28" i="2"/>
  <c r="J23" i="2"/>
  <c r="J43" i="2"/>
  <c r="I43" i="2"/>
  <c r="P59" i="2"/>
  <c r="P60" i="2"/>
  <c r="D53" i="2"/>
  <c r="J44" i="2"/>
  <c r="J45" i="2"/>
  <c r="C53" i="2"/>
  <c r="E53" i="2"/>
  <c r="T113" i="3"/>
  <c r="C71" i="2"/>
  <c r="C81" i="2"/>
  <c r="D81" i="2" s="1"/>
  <c r="C104" i="2"/>
  <c r="D52" i="2"/>
  <c r="C52" i="2"/>
  <c r="S112" i="3" s="1"/>
  <c r="D51" i="2"/>
  <c r="C103" i="2"/>
  <c r="B71" i="2"/>
  <c r="B81" i="2"/>
  <c r="D79" i="1"/>
  <c r="F93" i="1"/>
  <c r="F96" i="1"/>
  <c r="F95" i="1"/>
  <c r="F92" i="1"/>
  <c r="E96" i="1"/>
  <c r="E95" i="1"/>
  <c r="E93" i="1"/>
  <c r="E92" i="1"/>
  <c r="E90" i="1"/>
  <c r="E89" i="1"/>
  <c r="C96" i="1"/>
  <c r="C95" i="1"/>
  <c r="C93" i="1"/>
  <c r="C92" i="1"/>
  <c r="C90" i="1"/>
  <c r="C89" i="1"/>
  <c r="E82" i="1"/>
  <c r="E79" i="1"/>
  <c r="D83" i="1"/>
  <c r="D82" i="1"/>
  <c r="D80" i="1"/>
  <c r="C83" i="1"/>
  <c r="C82" i="1"/>
  <c r="C80" i="1"/>
  <c r="C79" i="1"/>
  <c r="C77" i="1"/>
  <c r="D70" i="1"/>
  <c r="D71" i="1"/>
  <c r="C71" i="1"/>
  <c r="C70" i="1"/>
  <c r="B70" i="1"/>
  <c r="D63" i="1"/>
  <c r="D64" i="1"/>
  <c r="C63" i="1"/>
  <c r="C64" i="1"/>
  <c r="C62" i="1"/>
  <c r="C69" i="1"/>
  <c r="B63" i="1"/>
  <c r="B64" i="1"/>
  <c r="B62" i="1"/>
  <c r="E49" i="1"/>
  <c r="E50" i="1"/>
  <c r="B58" i="1"/>
  <c r="B57" i="1"/>
  <c r="B56" i="1"/>
  <c r="C50" i="1"/>
  <c r="C49" i="1"/>
  <c r="D49" i="1"/>
  <c r="C48" i="1"/>
  <c r="C76" i="1"/>
  <c r="R23" i="1"/>
  <c r="N45" i="1"/>
  <c r="N44" i="1"/>
  <c r="N43" i="1"/>
  <c r="M4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23" i="1"/>
  <c r="L42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23" i="1"/>
  <c r="I41" i="1"/>
  <c r="I40" i="1"/>
  <c r="I39" i="1"/>
  <c r="H39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23" i="1"/>
  <c r="H38" i="1"/>
  <c r="G38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23" i="1"/>
  <c r="D39" i="1"/>
  <c r="D38" i="1"/>
  <c r="D37" i="1"/>
  <c r="C37" i="1"/>
  <c r="B36" i="1"/>
  <c r="C36" i="1"/>
  <c r="D36" i="1"/>
  <c r="D24" i="1"/>
  <c r="D25" i="1"/>
  <c r="D26" i="1"/>
  <c r="D27" i="1"/>
  <c r="D28" i="1"/>
  <c r="D29" i="1"/>
  <c r="D30" i="1"/>
  <c r="D31" i="1"/>
  <c r="D32" i="1"/>
  <c r="D33" i="1"/>
  <c r="D34" i="1"/>
  <c r="D35" i="1"/>
  <c r="D23" i="1"/>
  <c r="C24" i="1"/>
  <c r="C25" i="1"/>
  <c r="C26" i="1"/>
  <c r="C27" i="1"/>
  <c r="C28" i="1"/>
  <c r="C29" i="1"/>
  <c r="C30" i="1"/>
  <c r="C31" i="1"/>
  <c r="C32" i="1"/>
  <c r="C33" i="1"/>
  <c r="C34" i="1"/>
  <c r="C35" i="1"/>
  <c r="C23" i="1"/>
  <c r="B24" i="1"/>
  <c r="B25" i="1"/>
  <c r="B26" i="1"/>
  <c r="B27" i="1"/>
  <c r="B28" i="1"/>
  <c r="B29" i="1"/>
  <c r="B30" i="1"/>
  <c r="B31" i="1"/>
  <c r="B32" i="1"/>
  <c r="B33" i="1"/>
  <c r="B34" i="1"/>
  <c r="B35" i="1"/>
  <c r="B23" i="1"/>
  <c r="L19" i="1"/>
  <c r="L18" i="1"/>
  <c r="L17" i="1"/>
  <c r="L16" i="1"/>
  <c r="L15" i="1"/>
  <c r="G19" i="1"/>
  <c r="G18" i="1"/>
  <c r="G17" i="1"/>
  <c r="G16" i="1"/>
  <c r="G15" i="1"/>
  <c r="B19" i="1"/>
  <c r="B18" i="1"/>
  <c r="B17" i="1"/>
  <c r="B16" i="1"/>
  <c r="B15" i="1"/>
  <c r="D10" i="1"/>
  <c r="C10" i="1"/>
  <c r="B10" i="1"/>
  <c r="AG3" i="3"/>
  <c r="AG14" i="3"/>
  <c r="AG26" i="3"/>
  <c r="AG38" i="3"/>
  <c r="AG50" i="3"/>
  <c r="AG62" i="3"/>
  <c r="AG74" i="3"/>
  <c r="AG86" i="3"/>
  <c r="AG98" i="3"/>
  <c r="AG110" i="3"/>
  <c r="AG122" i="3"/>
  <c r="AG134" i="3"/>
  <c r="AG146" i="3"/>
  <c r="AG158" i="3"/>
  <c r="AG170" i="3"/>
  <c r="AG182" i="3"/>
  <c r="AG194" i="3"/>
  <c r="AG206" i="3"/>
  <c r="AG218" i="3"/>
  <c r="AG230" i="3"/>
  <c r="AG242" i="3"/>
  <c r="AG254" i="3"/>
  <c r="AG266" i="3"/>
  <c r="AG278" i="3"/>
  <c r="AG290" i="3"/>
  <c r="AG302" i="3"/>
  <c r="AG314" i="3"/>
  <c r="AG326" i="3"/>
  <c r="AG338" i="3"/>
  <c r="AG350" i="3"/>
  <c r="AG362" i="3"/>
  <c r="AG374" i="3"/>
  <c r="AG386" i="3"/>
  <c r="AG398" i="3"/>
  <c r="AG410" i="3"/>
  <c r="AG422" i="3"/>
  <c r="AG434" i="3"/>
  <c r="AG446" i="3"/>
  <c r="AG458" i="3"/>
  <c r="AG470" i="3"/>
  <c r="AG482" i="3"/>
  <c r="AG494" i="3"/>
  <c r="AG506" i="3"/>
  <c r="AG518" i="3"/>
  <c r="AG530" i="3"/>
  <c r="AG542" i="3"/>
  <c r="AG554" i="3"/>
  <c r="AG566" i="3"/>
  <c r="AG578" i="3"/>
  <c r="AG590" i="3"/>
  <c r="AG602" i="3"/>
  <c r="AG614" i="3"/>
  <c r="AG154" i="3"/>
  <c r="AG382" i="3"/>
  <c r="AG454" i="3"/>
  <c r="AG538" i="3"/>
  <c r="AG12" i="3"/>
  <c r="AG120" i="3"/>
  <c r="AG156" i="3"/>
  <c r="AG204" i="3"/>
  <c r="AG288" i="3"/>
  <c r="AG384" i="3"/>
  <c r="AG492" i="3"/>
  <c r="AG15" i="3"/>
  <c r="AG27" i="3"/>
  <c r="AG39" i="3"/>
  <c r="AG51" i="3"/>
  <c r="AG63" i="3"/>
  <c r="AG75" i="3"/>
  <c r="AG87" i="3"/>
  <c r="AG99" i="3"/>
  <c r="AG111" i="3"/>
  <c r="AG123" i="3"/>
  <c r="AG135" i="3"/>
  <c r="AG147" i="3"/>
  <c r="AG159" i="3"/>
  <c r="AG171" i="3"/>
  <c r="AG183" i="3"/>
  <c r="AG195" i="3"/>
  <c r="AG207" i="3"/>
  <c r="AG219" i="3"/>
  <c r="AG231" i="3"/>
  <c r="AG243" i="3"/>
  <c r="AG255" i="3"/>
  <c r="AG267" i="3"/>
  <c r="AG279" i="3"/>
  <c r="AG291" i="3"/>
  <c r="AG303" i="3"/>
  <c r="AG315" i="3"/>
  <c r="AG327" i="3"/>
  <c r="AG339" i="3"/>
  <c r="AG351" i="3"/>
  <c r="AG363" i="3"/>
  <c r="AG375" i="3"/>
  <c r="AG387" i="3"/>
  <c r="AG399" i="3"/>
  <c r="AG411" i="3"/>
  <c r="AG423" i="3"/>
  <c r="AG435" i="3"/>
  <c r="AG447" i="3"/>
  <c r="AG459" i="3"/>
  <c r="AG471" i="3"/>
  <c r="AG483" i="3"/>
  <c r="AG495" i="3"/>
  <c r="AG507" i="3"/>
  <c r="AG519" i="3"/>
  <c r="AG531" i="3"/>
  <c r="AG543" i="3"/>
  <c r="AG555" i="3"/>
  <c r="AG567" i="3"/>
  <c r="AG579" i="3"/>
  <c r="AG591" i="3"/>
  <c r="AG603" i="3"/>
  <c r="AG615" i="3"/>
  <c r="AG214" i="3"/>
  <c r="AG478" i="3"/>
  <c r="AG574" i="3"/>
  <c r="AG36" i="3"/>
  <c r="AG264" i="3"/>
  <c r="AG408" i="3"/>
  <c r="AG540" i="3"/>
  <c r="AG4" i="3"/>
  <c r="AG16" i="3"/>
  <c r="AG28" i="3"/>
  <c r="AG40" i="3"/>
  <c r="AG52" i="3"/>
  <c r="AG64" i="3"/>
  <c r="AG76" i="3"/>
  <c r="AG88" i="3"/>
  <c r="AG100" i="3"/>
  <c r="AG112" i="3"/>
  <c r="AG124" i="3"/>
  <c r="AG136" i="3"/>
  <c r="AG148" i="3"/>
  <c r="AG160" i="3"/>
  <c r="AG172" i="3"/>
  <c r="AG184" i="3"/>
  <c r="AG196" i="3"/>
  <c r="AG208" i="3"/>
  <c r="AG220" i="3"/>
  <c r="AG232" i="3"/>
  <c r="AG244" i="3"/>
  <c r="AG256" i="3"/>
  <c r="AG268" i="3"/>
  <c r="AG280" i="3"/>
  <c r="AG292" i="3"/>
  <c r="AG304" i="3"/>
  <c r="AG316" i="3"/>
  <c r="AG328" i="3"/>
  <c r="AG340" i="3"/>
  <c r="AG352" i="3"/>
  <c r="AG364" i="3"/>
  <c r="AG376" i="3"/>
  <c r="AG388" i="3"/>
  <c r="AG400" i="3"/>
  <c r="AG412" i="3"/>
  <c r="AG424" i="3"/>
  <c r="AG436" i="3"/>
  <c r="AG448" i="3"/>
  <c r="AG460" i="3"/>
  <c r="AG472" i="3"/>
  <c r="AG484" i="3"/>
  <c r="AG496" i="3"/>
  <c r="AG508" i="3"/>
  <c r="AG520" i="3"/>
  <c r="AG532" i="3"/>
  <c r="AG544" i="3"/>
  <c r="AG556" i="3"/>
  <c r="AG568" i="3"/>
  <c r="AG580" i="3"/>
  <c r="AG592" i="3"/>
  <c r="AG604" i="3"/>
  <c r="AG616" i="3"/>
  <c r="AG166" i="3"/>
  <c r="AG370" i="3"/>
  <c r="AG430" i="3"/>
  <c r="AG526" i="3"/>
  <c r="AG598" i="3"/>
  <c r="AG108" i="3"/>
  <c r="AG168" i="3"/>
  <c r="AG216" i="3"/>
  <c r="AG312" i="3"/>
  <c r="AG396" i="3"/>
  <c r="AG468" i="3"/>
  <c r="AG564" i="3"/>
  <c r="AG5" i="3"/>
  <c r="AG17" i="3"/>
  <c r="AG29" i="3"/>
  <c r="AG41" i="3"/>
  <c r="AG53" i="3"/>
  <c r="AG65" i="3"/>
  <c r="AG77" i="3"/>
  <c r="AG89" i="3"/>
  <c r="AG101" i="3"/>
  <c r="AG113" i="3"/>
  <c r="AG125" i="3"/>
  <c r="AG137" i="3"/>
  <c r="AG149" i="3"/>
  <c r="AG161" i="3"/>
  <c r="AG173" i="3"/>
  <c r="AG185" i="3"/>
  <c r="AG197" i="3"/>
  <c r="AG209" i="3"/>
  <c r="AG221" i="3"/>
  <c r="AG233" i="3"/>
  <c r="AG245" i="3"/>
  <c r="AG257" i="3"/>
  <c r="AG269" i="3"/>
  <c r="AG281" i="3"/>
  <c r="AG293" i="3"/>
  <c r="AG305" i="3"/>
  <c r="AG317" i="3"/>
  <c r="AG329" i="3"/>
  <c r="AG341" i="3"/>
  <c r="AG353" i="3"/>
  <c r="AG365" i="3"/>
  <c r="AG377" i="3"/>
  <c r="AG389" i="3"/>
  <c r="AG401" i="3"/>
  <c r="AG413" i="3"/>
  <c r="AG425" i="3"/>
  <c r="AG437" i="3"/>
  <c r="AG449" i="3"/>
  <c r="AG461" i="3"/>
  <c r="AG473" i="3"/>
  <c r="AG485" i="3"/>
  <c r="AG497" i="3"/>
  <c r="AG509" i="3"/>
  <c r="AG521" i="3"/>
  <c r="AG533" i="3"/>
  <c r="AG545" i="3"/>
  <c r="AG557" i="3"/>
  <c r="AG569" i="3"/>
  <c r="AG581" i="3"/>
  <c r="AG593" i="3"/>
  <c r="AG605" i="3"/>
  <c r="AG617" i="3"/>
  <c r="AG178" i="3"/>
  <c r="AG466" i="3"/>
  <c r="AG96" i="3"/>
  <c r="AG348" i="3"/>
  <c r="AG504" i="3"/>
  <c r="AG6" i="3"/>
  <c r="AG18" i="3"/>
  <c r="AG30" i="3"/>
  <c r="AG42" i="3"/>
  <c r="AG54" i="3"/>
  <c r="AG66" i="3"/>
  <c r="AG78" i="3"/>
  <c r="AG90" i="3"/>
  <c r="AG102" i="3"/>
  <c r="AG114" i="3"/>
  <c r="AG126" i="3"/>
  <c r="AG138" i="3"/>
  <c r="AG150" i="3"/>
  <c r="AG162" i="3"/>
  <c r="AG174" i="3"/>
  <c r="AG186" i="3"/>
  <c r="AG198" i="3"/>
  <c r="AG210" i="3"/>
  <c r="AG222" i="3"/>
  <c r="AG234" i="3"/>
  <c r="AG246" i="3"/>
  <c r="AG258" i="3"/>
  <c r="AG270" i="3"/>
  <c r="AG282" i="3"/>
  <c r="AG294" i="3"/>
  <c r="AG306" i="3"/>
  <c r="AG318" i="3"/>
  <c r="AG330" i="3"/>
  <c r="AG342" i="3"/>
  <c r="AG354" i="3"/>
  <c r="AG366" i="3"/>
  <c r="AG378" i="3"/>
  <c r="AG390" i="3"/>
  <c r="AG402" i="3"/>
  <c r="AG414" i="3"/>
  <c r="AG426" i="3"/>
  <c r="AG438" i="3"/>
  <c r="AG450" i="3"/>
  <c r="AG462" i="3"/>
  <c r="AG474" i="3"/>
  <c r="AG486" i="3"/>
  <c r="AG498" i="3"/>
  <c r="AG510" i="3"/>
  <c r="AG522" i="3"/>
  <c r="AG534" i="3"/>
  <c r="AG546" i="3"/>
  <c r="AG558" i="3"/>
  <c r="AG570" i="3"/>
  <c r="AG582" i="3"/>
  <c r="AG594" i="3"/>
  <c r="AG606" i="3"/>
  <c r="AG618" i="3"/>
  <c r="AG142" i="3"/>
  <c r="AG394" i="3"/>
  <c r="AG442" i="3"/>
  <c r="AG502" i="3"/>
  <c r="AG562" i="3"/>
  <c r="AG24" i="3"/>
  <c r="AG132" i="3"/>
  <c r="AG180" i="3"/>
  <c r="AG228" i="3"/>
  <c r="AG300" i="3"/>
  <c r="AG372" i="3"/>
  <c r="AG444" i="3"/>
  <c r="AG528" i="3"/>
  <c r="AG7" i="3"/>
  <c r="AG19" i="3"/>
  <c r="AG31" i="3"/>
  <c r="AG43" i="3"/>
  <c r="AG55" i="3"/>
  <c r="AG67" i="3"/>
  <c r="AG79" i="3"/>
  <c r="AG91" i="3"/>
  <c r="AG103" i="3"/>
  <c r="AG115" i="3"/>
  <c r="AG127" i="3"/>
  <c r="AG139" i="3"/>
  <c r="AG151" i="3"/>
  <c r="AG163" i="3"/>
  <c r="AG175" i="3"/>
  <c r="AG187" i="3"/>
  <c r="AG199" i="3"/>
  <c r="AG211" i="3"/>
  <c r="AG223" i="3"/>
  <c r="AG235" i="3"/>
  <c r="AG247" i="3"/>
  <c r="AG259" i="3"/>
  <c r="AG271" i="3"/>
  <c r="AG283" i="3"/>
  <c r="AG295" i="3"/>
  <c r="AG307" i="3"/>
  <c r="AG319" i="3"/>
  <c r="AG331" i="3"/>
  <c r="AG343" i="3"/>
  <c r="AG355" i="3"/>
  <c r="AG367" i="3"/>
  <c r="AG379" i="3"/>
  <c r="AG391" i="3"/>
  <c r="AG403" i="3"/>
  <c r="AG415" i="3"/>
  <c r="AG427" i="3"/>
  <c r="AG439" i="3"/>
  <c r="AG451" i="3"/>
  <c r="AG463" i="3"/>
  <c r="AG475" i="3"/>
  <c r="AG487" i="3"/>
  <c r="AG499" i="3"/>
  <c r="AG511" i="3"/>
  <c r="AG523" i="3"/>
  <c r="AG535" i="3"/>
  <c r="AG547" i="3"/>
  <c r="AG559" i="3"/>
  <c r="AG571" i="3"/>
  <c r="AG583" i="3"/>
  <c r="AG595" i="3"/>
  <c r="AG607" i="3"/>
  <c r="AG619" i="3"/>
  <c r="AG190" i="3"/>
  <c r="AG514" i="3"/>
  <c r="AG60" i="3"/>
  <c r="AG240" i="3"/>
  <c r="AG360" i="3"/>
  <c r="AG480" i="3"/>
  <c r="AG8" i="3"/>
  <c r="AG20" i="3"/>
  <c r="AG32" i="3"/>
  <c r="AG44" i="3"/>
  <c r="AG56" i="3"/>
  <c r="AG68" i="3"/>
  <c r="AG80" i="3"/>
  <c r="AG92" i="3"/>
  <c r="AG104" i="3"/>
  <c r="AG116" i="3"/>
  <c r="AG128" i="3"/>
  <c r="AG140" i="3"/>
  <c r="AG152" i="3"/>
  <c r="AG164" i="3"/>
  <c r="AG176" i="3"/>
  <c r="AG188" i="3"/>
  <c r="AG200" i="3"/>
  <c r="AG212" i="3"/>
  <c r="AG224" i="3"/>
  <c r="AG236" i="3"/>
  <c r="AG248" i="3"/>
  <c r="AG260" i="3"/>
  <c r="AG272" i="3"/>
  <c r="AG284" i="3"/>
  <c r="AG296" i="3"/>
  <c r="AG308" i="3"/>
  <c r="AG320" i="3"/>
  <c r="AG332" i="3"/>
  <c r="AG344" i="3"/>
  <c r="AG356" i="3"/>
  <c r="AG368" i="3"/>
  <c r="AG380" i="3"/>
  <c r="AG392" i="3"/>
  <c r="AG404" i="3"/>
  <c r="AG416" i="3"/>
  <c r="AG428" i="3"/>
  <c r="AG440" i="3"/>
  <c r="AG452" i="3"/>
  <c r="AG464" i="3"/>
  <c r="AG476" i="3"/>
  <c r="AG488" i="3"/>
  <c r="AG500" i="3"/>
  <c r="AG512" i="3"/>
  <c r="AG524" i="3"/>
  <c r="AG536" i="3"/>
  <c r="AG548" i="3"/>
  <c r="AG560" i="3"/>
  <c r="AG572" i="3"/>
  <c r="AG584" i="3"/>
  <c r="AG596" i="3"/>
  <c r="AG608" i="3"/>
  <c r="AG620" i="3"/>
  <c r="AG226" i="3"/>
  <c r="AG586" i="3"/>
  <c r="AG48" i="3"/>
  <c r="AG276" i="3"/>
  <c r="AG432" i="3"/>
  <c r="AG9" i="3"/>
  <c r="AG21" i="3"/>
  <c r="AG33" i="3"/>
  <c r="AG45" i="3"/>
  <c r="AG57" i="3"/>
  <c r="AG69" i="3"/>
  <c r="AG81" i="3"/>
  <c r="AG93" i="3"/>
  <c r="AG105" i="3"/>
  <c r="AG117" i="3"/>
  <c r="AG129" i="3"/>
  <c r="AG141" i="3"/>
  <c r="AG153" i="3"/>
  <c r="AG165" i="3"/>
  <c r="AG177" i="3"/>
  <c r="AG189" i="3"/>
  <c r="AG201" i="3"/>
  <c r="AG213" i="3"/>
  <c r="AG225" i="3"/>
  <c r="AG237" i="3"/>
  <c r="AG249" i="3"/>
  <c r="AG261" i="3"/>
  <c r="AG273" i="3"/>
  <c r="AG285" i="3"/>
  <c r="AG297" i="3"/>
  <c r="AG309" i="3"/>
  <c r="AG321" i="3"/>
  <c r="AG333" i="3"/>
  <c r="AG345" i="3"/>
  <c r="AG357" i="3"/>
  <c r="AG369" i="3"/>
  <c r="AG381" i="3"/>
  <c r="AG393" i="3"/>
  <c r="AG405" i="3"/>
  <c r="AG417" i="3"/>
  <c r="AG429" i="3"/>
  <c r="AG441" i="3"/>
  <c r="AG453" i="3"/>
  <c r="AG465" i="3"/>
  <c r="AG477" i="3"/>
  <c r="AG489" i="3"/>
  <c r="AG501" i="3"/>
  <c r="AG513" i="3"/>
  <c r="AG525" i="3"/>
  <c r="AG537" i="3"/>
  <c r="AG549" i="3"/>
  <c r="AG561" i="3"/>
  <c r="AG573" i="3"/>
  <c r="AG585" i="3"/>
  <c r="AG597" i="3"/>
  <c r="AG609" i="3"/>
  <c r="AG10" i="3"/>
  <c r="AG22" i="3"/>
  <c r="AG34" i="3"/>
  <c r="AG46" i="3"/>
  <c r="AG58" i="3"/>
  <c r="AG70" i="3"/>
  <c r="AG82" i="3"/>
  <c r="AG94" i="3"/>
  <c r="AG106" i="3"/>
  <c r="AG118" i="3"/>
  <c r="AG130" i="3"/>
  <c r="AG202" i="3"/>
  <c r="AG238" i="3"/>
  <c r="AG250" i="3"/>
  <c r="AG262" i="3"/>
  <c r="AG274" i="3"/>
  <c r="AG286" i="3"/>
  <c r="AG298" i="3"/>
  <c r="AG310" i="3"/>
  <c r="AG322" i="3"/>
  <c r="AG334" i="3"/>
  <c r="AG346" i="3"/>
  <c r="AG358" i="3"/>
  <c r="AG406" i="3"/>
  <c r="AG418" i="3"/>
  <c r="AG490" i="3"/>
  <c r="AG550" i="3"/>
  <c r="AG610" i="3"/>
  <c r="AG72" i="3"/>
  <c r="AG144" i="3"/>
  <c r="AG192" i="3"/>
  <c r="AG252" i="3"/>
  <c r="AG336" i="3"/>
  <c r="AG420" i="3"/>
  <c r="AG11" i="3"/>
  <c r="AG23" i="3"/>
  <c r="AG35" i="3"/>
  <c r="AG47" i="3"/>
  <c r="AG59" i="3"/>
  <c r="AG71" i="3"/>
  <c r="AG83" i="3"/>
  <c r="AG95" i="3"/>
  <c r="AG107" i="3"/>
  <c r="AG119" i="3"/>
  <c r="AG131" i="3"/>
  <c r="AG143" i="3"/>
  <c r="AG155" i="3"/>
  <c r="AG167" i="3"/>
  <c r="AG179" i="3"/>
  <c r="AG191" i="3"/>
  <c r="AG203" i="3"/>
  <c r="AG215" i="3"/>
  <c r="AG227" i="3"/>
  <c r="AG239" i="3"/>
  <c r="AG251" i="3"/>
  <c r="AG263" i="3"/>
  <c r="AG275" i="3"/>
  <c r="AG287" i="3"/>
  <c r="AG299" i="3"/>
  <c r="AG311" i="3"/>
  <c r="AG323" i="3"/>
  <c r="AG335" i="3"/>
  <c r="AG347" i="3"/>
  <c r="AG359" i="3"/>
  <c r="AG371" i="3"/>
  <c r="AG383" i="3"/>
  <c r="AG395" i="3"/>
  <c r="AG407" i="3"/>
  <c r="AG419" i="3"/>
  <c r="AG431" i="3"/>
  <c r="AG443" i="3"/>
  <c r="AG455" i="3"/>
  <c r="AG467" i="3"/>
  <c r="AG479" i="3"/>
  <c r="AG491" i="3"/>
  <c r="AG503" i="3"/>
  <c r="AG515" i="3"/>
  <c r="AG527" i="3"/>
  <c r="AG539" i="3"/>
  <c r="AG551" i="3"/>
  <c r="AG563" i="3"/>
  <c r="AG575" i="3"/>
  <c r="AG587" i="3"/>
  <c r="AG599" i="3"/>
  <c r="AG611" i="3"/>
  <c r="AG84" i="3"/>
  <c r="AG324" i="3"/>
  <c r="AG456" i="3"/>
  <c r="AG133" i="3"/>
  <c r="AG277" i="3"/>
  <c r="AG421" i="3"/>
  <c r="AG552" i="3"/>
  <c r="AG553" i="3"/>
  <c r="AG577" i="3"/>
  <c r="AG601" i="3"/>
  <c r="AG145" i="3"/>
  <c r="AG289" i="3"/>
  <c r="AG433" i="3"/>
  <c r="AG325" i="3"/>
  <c r="AG516" i="3"/>
  <c r="AG13" i="3"/>
  <c r="AG157" i="3"/>
  <c r="AG301" i="3"/>
  <c r="AG445" i="3"/>
  <c r="AG565" i="3"/>
  <c r="AG469" i="3"/>
  <c r="AG373" i="3"/>
  <c r="AG25" i="3"/>
  <c r="AG169" i="3"/>
  <c r="AG313" i="3"/>
  <c r="AG457" i="3"/>
  <c r="AG576" i="3"/>
  <c r="AG37" i="3"/>
  <c r="AG181" i="3"/>
  <c r="AG229" i="3"/>
  <c r="AG49" i="3"/>
  <c r="AG193" i="3"/>
  <c r="AG337" i="3"/>
  <c r="AG481" i="3"/>
  <c r="AG588" i="3"/>
  <c r="AG61" i="3"/>
  <c r="AG205" i="3"/>
  <c r="AG349" i="3"/>
  <c r="AG493" i="3"/>
  <c r="AG589" i="3"/>
  <c r="AG361" i="3"/>
  <c r="AG73" i="3"/>
  <c r="AG217" i="3"/>
  <c r="AG505" i="3"/>
  <c r="AG600" i="3"/>
  <c r="AG85" i="3"/>
  <c r="AG97" i="3"/>
  <c r="AG241" i="3"/>
  <c r="AG385" i="3"/>
  <c r="AG517" i="3"/>
  <c r="AG612" i="3"/>
  <c r="AG109" i="3"/>
  <c r="AG253" i="3"/>
  <c r="AG397" i="3"/>
  <c r="AG529" i="3"/>
  <c r="AG613" i="3"/>
  <c r="AG121" i="3"/>
  <c r="AG265" i="3"/>
  <c r="AG409" i="3"/>
  <c r="AG541" i="3"/>
  <c r="D71" i="2"/>
  <c r="C70" i="2"/>
  <c r="C80" i="2"/>
  <c r="T112" i="3"/>
  <c r="C69" i="2"/>
  <c r="C79" i="2"/>
  <c r="T111" i="3"/>
  <c r="C101" i="2"/>
  <c r="D62" i="1"/>
  <c r="B69" i="1"/>
  <c r="D69" i="1"/>
  <c r="D76" i="1"/>
  <c r="E48" i="1"/>
  <c r="AG623" i="3"/>
  <c r="AG622" i="3"/>
  <c r="AG624" i="3"/>
  <c r="U113" i="3"/>
  <c r="F89" i="1"/>
  <c r="F90" i="1"/>
  <c r="E76" i="1"/>
  <c r="D29" i="2"/>
  <c r="B32" i="2"/>
  <c r="D50" i="2"/>
  <c r="T110" i="3"/>
  <c r="C51" i="2"/>
  <c r="S111" i="3" s="1"/>
  <c r="E51" i="2"/>
  <c r="AF3" i="3"/>
  <c r="AF620" i="3"/>
  <c r="AF472" i="3"/>
  <c r="AF576" i="3"/>
  <c r="AF432" i="3"/>
  <c r="AF288" i="3"/>
  <c r="AF144" i="3"/>
  <c r="AF580" i="3"/>
  <c r="AF371" i="3"/>
  <c r="AF227" i="3"/>
  <c r="AF83" i="3"/>
  <c r="AF610" i="3"/>
  <c r="AF466" i="3"/>
  <c r="AF322" i="3"/>
  <c r="AF178" i="3"/>
  <c r="AF34" i="3"/>
  <c r="AF525" i="3"/>
  <c r="AF381" i="3"/>
  <c r="AF237" i="3"/>
  <c r="AF93" i="3"/>
  <c r="AF608" i="3"/>
  <c r="AF464" i="3"/>
  <c r="AF320" i="3"/>
  <c r="AF176" i="3"/>
  <c r="AF32" i="3"/>
  <c r="AF559" i="3"/>
  <c r="AF415" i="3"/>
  <c r="AF271" i="3"/>
  <c r="AF127" i="3"/>
  <c r="AF484" i="3"/>
  <c r="AF534" i="3"/>
  <c r="AF390" i="3"/>
  <c r="AF246" i="3"/>
  <c r="AF102" i="3"/>
  <c r="AF617" i="3"/>
  <c r="AF473" i="3"/>
  <c r="AF329" i="3"/>
  <c r="AF185" i="3"/>
  <c r="AF41" i="3"/>
  <c r="AF328" i="3"/>
  <c r="AF184" i="3"/>
  <c r="AF40" i="3"/>
  <c r="AF543" i="3"/>
  <c r="AF399" i="3"/>
  <c r="AF255" i="3"/>
  <c r="AF111" i="3"/>
  <c r="AF506" i="3"/>
  <c r="AF362" i="3"/>
  <c r="AF218" i="3"/>
  <c r="AF74" i="3"/>
  <c r="AF541" i="3"/>
  <c r="AF349" i="3"/>
  <c r="AF205" i="3"/>
  <c r="AF61" i="3"/>
  <c r="AF518" i="3"/>
  <c r="AF564" i="3"/>
  <c r="AF420" i="3"/>
  <c r="AF276" i="3"/>
  <c r="AF132" i="3"/>
  <c r="AF400" i="3"/>
  <c r="AF359" i="3"/>
  <c r="AF215" i="3"/>
  <c r="AF71" i="3"/>
  <c r="AF598" i="3"/>
  <c r="AF454" i="3"/>
  <c r="AF310" i="3"/>
  <c r="AF166" i="3"/>
  <c r="AF22" i="3"/>
  <c r="AF513" i="3"/>
  <c r="AF369" i="3"/>
  <c r="AF225" i="3"/>
  <c r="AF81" i="3"/>
  <c r="AF596" i="3"/>
  <c r="AF452" i="3"/>
  <c r="AF308" i="3"/>
  <c r="AF164" i="3"/>
  <c r="AF20" i="3"/>
  <c r="AF547" i="3"/>
  <c r="AF403" i="3"/>
  <c r="AF259" i="3"/>
  <c r="AF115" i="3"/>
  <c r="AF566" i="3"/>
  <c r="AF522" i="3"/>
  <c r="AF378" i="3"/>
  <c r="AF234" i="3"/>
  <c r="AF90" i="3"/>
  <c r="AF605" i="3"/>
  <c r="AF461" i="3"/>
  <c r="AF317" i="3"/>
  <c r="AF173" i="3"/>
  <c r="AF29" i="3"/>
  <c r="AF316" i="3"/>
  <c r="AF172" i="3"/>
  <c r="AF28" i="3"/>
  <c r="AF531" i="3"/>
  <c r="AF387" i="3"/>
  <c r="AF243" i="3"/>
  <c r="AF99" i="3"/>
  <c r="AF494" i="3"/>
  <c r="AF350" i="3"/>
  <c r="AF206" i="3"/>
  <c r="AF62" i="3"/>
  <c r="AF517" i="3"/>
  <c r="AF337" i="3"/>
  <c r="AF193" i="3"/>
  <c r="AF49" i="3"/>
  <c r="AF78" i="3"/>
  <c r="AF449" i="3"/>
  <c r="AF161" i="3"/>
  <c r="AF17" i="3"/>
  <c r="AF160" i="3"/>
  <c r="AF16" i="3"/>
  <c r="AF519" i="3"/>
  <c r="AF375" i="3"/>
  <c r="AF87" i="3"/>
  <c r="AF338" i="3"/>
  <c r="AF194" i="3"/>
  <c r="AF493" i="3"/>
  <c r="AF181" i="3"/>
  <c r="AF37" i="3"/>
  <c r="AF66" i="3"/>
  <c r="AF292" i="3"/>
  <c r="AF507" i="3"/>
  <c r="AF219" i="3"/>
  <c r="AF470" i="3"/>
  <c r="AF38" i="3"/>
  <c r="AF169" i="3"/>
  <c r="AF211" i="3"/>
  <c r="AF42" i="3"/>
  <c r="AF125" i="3"/>
  <c r="AF124" i="3"/>
  <c r="AF195" i="3"/>
  <c r="AF302" i="3"/>
  <c r="AF445" i="3"/>
  <c r="AF601" i="3"/>
  <c r="AF552" i="3"/>
  <c r="AF408" i="3"/>
  <c r="AF264" i="3"/>
  <c r="AF120" i="3"/>
  <c r="AF590" i="3"/>
  <c r="AF347" i="3"/>
  <c r="AF203" i="3"/>
  <c r="AF59" i="3"/>
  <c r="AF586" i="3"/>
  <c r="AF442" i="3"/>
  <c r="AF298" i="3"/>
  <c r="AF154" i="3"/>
  <c r="AF10" i="3"/>
  <c r="AF501" i="3"/>
  <c r="AF357" i="3"/>
  <c r="AF213" i="3"/>
  <c r="AF69" i="3"/>
  <c r="AF584" i="3"/>
  <c r="AF440" i="3"/>
  <c r="AF296" i="3"/>
  <c r="AF152" i="3"/>
  <c r="AF8" i="3"/>
  <c r="AF535" i="3"/>
  <c r="AF391" i="3"/>
  <c r="AF247" i="3"/>
  <c r="AF103" i="3"/>
  <c r="AF551" i="3"/>
  <c r="AF510" i="3"/>
  <c r="AF366" i="3"/>
  <c r="AF222" i="3"/>
  <c r="AF593" i="3"/>
  <c r="AF305" i="3"/>
  <c r="AF304" i="3"/>
  <c r="AF231" i="3"/>
  <c r="AF482" i="3"/>
  <c r="AF50" i="3"/>
  <c r="AF325" i="3"/>
  <c r="AF437" i="3"/>
  <c r="AF4" i="3"/>
  <c r="AF75" i="3"/>
  <c r="AF182" i="3"/>
  <c r="AF313" i="3"/>
  <c r="AF67" i="3"/>
  <c r="AF557" i="3"/>
  <c r="AF532" i="3"/>
  <c r="AF483" i="3"/>
  <c r="AF446" i="3"/>
  <c r="AF289" i="3"/>
  <c r="AF174" i="3"/>
  <c r="AF113" i="3"/>
  <c r="AF112" i="3"/>
  <c r="AF327" i="3"/>
  <c r="AF434" i="3"/>
  <c r="AF146" i="3"/>
  <c r="AF277" i="3"/>
  <c r="AF121" i="3"/>
  <c r="AF232" i="3"/>
  <c r="AF15" i="3"/>
  <c r="AF554" i="3"/>
  <c r="AF109" i="3"/>
  <c r="AF435" i="3"/>
  <c r="AF110" i="3"/>
  <c r="AF97" i="3"/>
  <c r="AF279" i="3"/>
  <c r="AF577" i="3"/>
  <c r="AF553" i="3"/>
  <c r="AF589" i="3"/>
  <c r="AF540" i="3"/>
  <c r="AF396" i="3"/>
  <c r="AF252" i="3"/>
  <c r="AF108" i="3"/>
  <c r="AF611" i="3"/>
  <c r="AF335" i="3"/>
  <c r="AF191" i="3"/>
  <c r="AF47" i="3"/>
  <c r="AF574" i="3"/>
  <c r="AF430" i="3"/>
  <c r="AF286" i="3"/>
  <c r="AF142" i="3"/>
  <c r="AF587" i="3"/>
  <c r="AF489" i="3"/>
  <c r="AF345" i="3"/>
  <c r="AF201" i="3"/>
  <c r="AF57" i="3"/>
  <c r="AF572" i="3"/>
  <c r="AF428" i="3"/>
  <c r="AF284" i="3"/>
  <c r="AF140" i="3"/>
  <c r="AF412" i="3"/>
  <c r="AF523" i="3"/>
  <c r="AF379" i="3"/>
  <c r="AF235" i="3"/>
  <c r="AF91" i="3"/>
  <c r="AF515" i="3"/>
  <c r="AF498" i="3"/>
  <c r="AF354" i="3"/>
  <c r="AF210" i="3"/>
  <c r="AF581" i="3"/>
  <c r="AF293" i="3"/>
  <c r="AF149" i="3"/>
  <c r="AF5" i="3"/>
  <c r="AF148" i="3"/>
  <c r="AF363" i="3"/>
  <c r="AF326" i="3"/>
  <c r="AF469" i="3"/>
  <c r="AF25" i="3"/>
  <c r="AF474" i="3"/>
  <c r="AF269" i="3"/>
  <c r="AF448" i="3"/>
  <c r="AF51" i="3"/>
  <c r="AF158" i="3"/>
  <c r="AF145" i="3"/>
  <c r="AF318" i="3"/>
  <c r="AF257" i="3"/>
  <c r="AF256" i="3"/>
  <c r="AF471" i="3"/>
  <c r="AF183" i="3"/>
  <c r="AF290" i="3"/>
  <c r="AF433" i="3"/>
  <c r="AF133" i="3"/>
  <c r="AF421" i="3"/>
  <c r="AF565" i="3"/>
  <c r="AF528" i="3"/>
  <c r="AF384" i="3"/>
  <c r="AF240" i="3"/>
  <c r="AF96" i="3"/>
  <c r="AF539" i="3"/>
  <c r="AF323" i="3"/>
  <c r="AF179" i="3"/>
  <c r="AF35" i="3"/>
  <c r="AF562" i="3"/>
  <c r="AF418" i="3"/>
  <c r="AF274" i="3"/>
  <c r="AF130" i="3"/>
  <c r="AF407" i="3"/>
  <c r="AF477" i="3"/>
  <c r="AF333" i="3"/>
  <c r="AF189" i="3"/>
  <c r="AF45" i="3"/>
  <c r="AF560" i="3"/>
  <c r="AF416" i="3"/>
  <c r="AF272" i="3"/>
  <c r="AF128" i="3"/>
  <c r="AF542" i="3"/>
  <c r="AF511" i="3"/>
  <c r="AF367" i="3"/>
  <c r="AF223" i="3"/>
  <c r="AF79" i="3"/>
  <c r="AF431" i="3"/>
  <c r="AF486" i="3"/>
  <c r="AF342" i="3"/>
  <c r="AF198" i="3"/>
  <c r="AF54" i="3"/>
  <c r="AF569" i="3"/>
  <c r="AF425" i="3"/>
  <c r="AF281" i="3"/>
  <c r="AF137" i="3"/>
  <c r="AF544" i="3"/>
  <c r="AF280" i="3"/>
  <c r="AF136" i="3"/>
  <c r="AF616" i="3"/>
  <c r="AF495" i="3"/>
  <c r="AF351" i="3"/>
  <c r="AF207" i="3"/>
  <c r="AF63" i="3"/>
  <c r="AF458" i="3"/>
  <c r="AF314" i="3"/>
  <c r="AF170" i="3"/>
  <c r="AF26" i="3"/>
  <c r="AF457" i="3"/>
  <c r="AF301" i="3"/>
  <c r="AF157" i="3"/>
  <c r="AF13" i="3"/>
  <c r="AF159" i="3"/>
  <c r="AF291" i="3"/>
  <c r="AF398" i="3"/>
  <c r="AF385" i="3"/>
  <c r="AF208" i="3"/>
  <c r="AF508" i="3"/>
  <c r="AF229" i="3"/>
  <c r="AF374" i="3"/>
  <c r="AF73" i="3"/>
  <c r="AF529" i="3"/>
  <c r="AF516" i="3"/>
  <c r="AF372" i="3"/>
  <c r="AF228" i="3"/>
  <c r="AF84" i="3"/>
  <c r="AF527" i="3"/>
  <c r="AF311" i="3"/>
  <c r="AF167" i="3"/>
  <c r="AF23" i="3"/>
  <c r="AF550" i="3"/>
  <c r="AF406" i="3"/>
  <c r="AF262" i="3"/>
  <c r="AF118" i="3"/>
  <c r="AF609" i="3"/>
  <c r="AF465" i="3"/>
  <c r="AF321" i="3"/>
  <c r="AF177" i="3"/>
  <c r="AF33" i="3"/>
  <c r="AF548" i="3"/>
  <c r="AF404" i="3"/>
  <c r="AF260" i="3"/>
  <c r="AF116" i="3"/>
  <c r="AF563" i="3"/>
  <c r="AF499" i="3"/>
  <c r="AF355" i="3"/>
  <c r="AF618" i="3"/>
  <c r="AF330" i="3"/>
  <c r="AF186" i="3"/>
  <c r="AF413" i="3"/>
  <c r="AF268" i="3"/>
  <c r="AF339" i="3"/>
  <c r="AF14" i="3"/>
  <c r="AF505" i="3"/>
  <c r="AF504" i="3"/>
  <c r="AF360" i="3"/>
  <c r="AF216" i="3"/>
  <c r="AF72" i="3"/>
  <c r="AF503" i="3"/>
  <c r="AF299" i="3"/>
  <c r="AF155" i="3"/>
  <c r="AF11" i="3"/>
  <c r="AF538" i="3"/>
  <c r="AF394" i="3"/>
  <c r="AF250" i="3"/>
  <c r="AF106" i="3"/>
  <c r="AF597" i="3"/>
  <c r="AF453" i="3"/>
  <c r="AF309" i="3"/>
  <c r="AF165" i="3"/>
  <c r="AF21" i="3"/>
  <c r="AF536" i="3"/>
  <c r="AF392" i="3"/>
  <c r="AF248" i="3"/>
  <c r="AF104" i="3"/>
  <c r="AF455" i="3"/>
  <c r="AF487" i="3"/>
  <c r="AF343" i="3"/>
  <c r="AF199" i="3"/>
  <c r="AF55" i="3"/>
  <c r="AF606" i="3"/>
  <c r="AF462" i="3"/>
  <c r="AF30" i="3"/>
  <c r="AF545" i="3"/>
  <c r="AF401" i="3"/>
  <c r="AF520" i="3"/>
  <c r="AF615" i="3"/>
  <c r="AF39" i="3"/>
  <c r="AF592" i="3"/>
  <c r="AF481" i="3"/>
  <c r="AF492" i="3"/>
  <c r="AF348" i="3"/>
  <c r="AF204" i="3"/>
  <c r="AF60" i="3"/>
  <c r="AF491" i="3"/>
  <c r="AF287" i="3"/>
  <c r="AF143" i="3"/>
  <c r="AF556" i="3"/>
  <c r="AF526" i="3"/>
  <c r="AF382" i="3"/>
  <c r="AF238" i="3"/>
  <c r="AF94" i="3"/>
  <c r="AF585" i="3"/>
  <c r="AF441" i="3"/>
  <c r="AF297" i="3"/>
  <c r="AF153" i="3"/>
  <c r="AF9" i="3"/>
  <c r="AF524" i="3"/>
  <c r="AF380" i="3"/>
  <c r="AF236" i="3"/>
  <c r="AF92" i="3"/>
  <c r="AF619" i="3"/>
  <c r="AF475" i="3"/>
  <c r="AF331" i="3"/>
  <c r="AF187" i="3"/>
  <c r="AF43" i="3"/>
  <c r="AF594" i="3"/>
  <c r="AF450" i="3"/>
  <c r="AF306" i="3"/>
  <c r="AF162" i="3"/>
  <c r="AF18" i="3"/>
  <c r="AF533" i="3"/>
  <c r="AF389" i="3"/>
  <c r="AF245" i="3"/>
  <c r="AF101" i="3"/>
  <c r="AF388" i="3"/>
  <c r="AF244" i="3"/>
  <c r="AF100" i="3"/>
  <c r="AF603" i="3"/>
  <c r="AF459" i="3"/>
  <c r="AF315" i="3"/>
  <c r="AF171" i="3"/>
  <c r="AF27" i="3"/>
  <c r="AF422" i="3"/>
  <c r="AF278" i="3"/>
  <c r="AF134" i="3"/>
  <c r="AF436" i="3"/>
  <c r="AF265" i="3"/>
  <c r="AF591" i="3"/>
  <c r="AF410" i="3"/>
  <c r="AF122" i="3"/>
  <c r="AF253" i="3"/>
  <c r="AF579" i="3"/>
  <c r="AF254" i="3"/>
  <c r="AF241" i="3"/>
  <c r="AF423" i="3"/>
  <c r="AF242" i="3"/>
  <c r="AF85" i="3"/>
  <c r="AF230" i="3"/>
  <c r="AF397" i="3"/>
  <c r="AF480" i="3"/>
  <c r="AF336" i="3"/>
  <c r="AF192" i="3"/>
  <c r="AF48" i="3"/>
  <c r="AF479" i="3"/>
  <c r="AF275" i="3"/>
  <c r="AF131" i="3"/>
  <c r="AF496" i="3"/>
  <c r="AF514" i="3"/>
  <c r="AF370" i="3"/>
  <c r="AF226" i="3"/>
  <c r="AF82" i="3"/>
  <c r="AF573" i="3"/>
  <c r="AF429" i="3"/>
  <c r="AF285" i="3"/>
  <c r="AF141" i="3"/>
  <c r="AF424" i="3"/>
  <c r="AF512" i="3"/>
  <c r="AF368" i="3"/>
  <c r="AF224" i="3"/>
  <c r="AF80" i="3"/>
  <c r="AF607" i="3"/>
  <c r="AF463" i="3"/>
  <c r="AF319" i="3"/>
  <c r="AF175" i="3"/>
  <c r="AF31" i="3"/>
  <c r="AF582" i="3"/>
  <c r="AF438" i="3"/>
  <c r="AF294" i="3"/>
  <c r="AF150" i="3"/>
  <c r="AF6" i="3"/>
  <c r="AF521" i="3"/>
  <c r="AF377" i="3"/>
  <c r="AF233" i="3"/>
  <c r="AF89" i="3"/>
  <c r="AF376" i="3"/>
  <c r="AF88" i="3"/>
  <c r="AF447" i="3"/>
  <c r="AF303" i="3"/>
  <c r="AF266" i="3"/>
  <c r="AF409" i="3"/>
  <c r="AF147" i="3"/>
  <c r="AF613" i="3"/>
  <c r="AF567" i="3"/>
  <c r="AF98" i="3"/>
  <c r="AF361" i="3"/>
  <c r="AF612" i="3"/>
  <c r="AF468" i="3"/>
  <c r="AF324" i="3"/>
  <c r="AF180" i="3"/>
  <c r="AF36" i="3"/>
  <c r="AF419" i="3"/>
  <c r="AF263" i="3"/>
  <c r="AF119" i="3"/>
  <c r="AF578" i="3"/>
  <c r="AF502" i="3"/>
  <c r="AF358" i="3"/>
  <c r="AF214" i="3"/>
  <c r="AF70" i="3"/>
  <c r="AF561" i="3"/>
  <c r="AF417" i="3"/>
  <c r="AF273" i="3"/>
  <c r="AF129" i="3"/>
  <c r="AF614" i="3"/>
  <c r="AF500" i="3"/>
  <c r="AF356" i="3"/>
  <c r="AF212" i="3"/>
  <c r="AF68" i="3"/>
  <c r="AF595" i="3"/>
  <c r="AF451" i="3"/>
  <c r="AF307" i="3"/>
  <c r="AF163" i="3"/>
  <c r="AF19" i="3"/>
  <c r="AF570" i="3"/>
  <c r="AF426" i="3"/>
  <c r="AF282" i="3"/>
  <c r="AF138" i="3"/>
  <c r="AF568" i="3"/>
  <c r="AF509" i="3"/>
  <c r="AF365" i="3"/>
  <c r="AF221" i="3"/>
  <c r="AF77" i="3"/>
  <c r="AF364" i="3"/>
  <c r="AF220" i="3"/>
  <c r="AF76" i="3"/>
  <c r="AF386" i="3"/>
  <c r="AF600" i="3"/>
  <c r="AF456" i="3"/>
  <c r="AF312" i="3"/>
  <c r="AF168" i="3"/>
  <c r="AF24" i="3"/>
  <c r="AF395" i="3"/>
  <c r="AF251" i="3"/>
  <c r="AF107" i="3"/>
  <c r="AF575" i="3"/>
  <c r="AF490" i="3"/>
  <c r="AF346" i="3"/>
  <c r="AF202" i="3"/>
  <c r="AF58" i="3"/>
  <c r="AF549" i="3"/>
  <c r="AF405" i="3"/>
  <c r="AF261" i="3"/>
  <c r="AF117" i="3"/>
  <c r="AF599" i="3"/>
  <c r="AF488" i="3"/>
  <c r="AF344" i="3"/>
  <c r="AF200" i="3"/>
  <c r="AF56" i="3"/>
  <c r="AF583" i="3"/>
  <c r="AF439" i="3"/>
  <c r="AF295" i="3"/>
  <c r="AF151" i="3"/>
  <c r="AF7" i="3"/>
  <c r="AF558" i="3"/>
  <c r="AF414" i="3"/>
  <c r="AF270" i="3"/>
  <c r="AF126" i="3"/>
  <c r="AF460" i="3"/>
  <c r="AF497" i="3"/>
  <c r="AF353" i="3"/>
  <c r="AF209" i="3"/>
  <c r="AF65" i="3"/>
  <c r="AF352" i="3"/>
  <c r="AF64" i="3"/>
  <c r="AF135" i="3"/>
  <c r="AF373" i="3"/>
  <c r="AF217" i="3"/>
  <c r="AF588" i="3"/>
  <c r="AF444" i="3"/>
  <c r="AF300" i="3"/>
  <c r="AF156" i="3"/>
  <c r="AF12" i="3"/>
  <c r="AF383" i="3"/>
  <c r="AF239" i="3"/>
  <c r="AF95" i="3"/>
  <c r="AF467" i="3"/>
  <c r="AF478" i="3"/>
  <c r="AF334" i="3"/>
  <c r="AF190" i="3"/>
  <c r="AF46" i="3"/>
  <c r="AF537" i="3"/>
  <c r="AF393" i="3"/>
  <c r="AF249" i="3"/>
  <c r="AF105" i="3"/>
  <c r="AF443" i="3"/>
  <c r="AF476" i="3"/>
  <c r="AF332" i="3"/>
  <c r="AF188" i="3"/>
  <c r="AF44" i="3"/>
  <c r="AF571" i="3"/>
  <c r="AF427" i="3"/>
  <c r="AF283" i="3"/>
  <c r="AF139" i="3"/>
  <c r="AF604" i="3"/>
  <c r="AF546" i="3"/>
  <c r="AF402" i="3"/>
  <c r="AF258" i="3"/>
  <c r="AF114" i="3"/>
  <c r="AF530" i="3"/>
  <c r="AF485" i="3"/>
  <c r="AF341" i="3"/>
  <c r="AF197" i="3"/>
  <c r="AF53" i="3"/>
  <c r="AF340" i="3"/>
  <c r="AF196" i="3"/>
  <c r="AF52" i="3"/>
  <c r="AF555" i="3"/>
  <c r="AF411" i="3"/>
  <c r="AF267" i="3"/>
  <c r="AF123" i="3"/>
  <c r="AF602" i="3"/>
  <c r="AF86" i="3"/>
  <c r="C100" i="2"/>
  <c r="T109" i="3"/>
  <c r="C68" i="2"/>
  <c r="C78" i="2"/>
  <c r="C98" i="2"/>
  <c r="E52" i="2"/>
  <c r="B70" i="2"/>
  <c r="B69" i="2"/>
  <c r="C50" i="2"/>
  <c r="C95" i="2"/>
  <c r="E49" i="2"/>
  <c r="AF624" i="3"/>
  <c r="AF622" i="3"/>
  <c r="AF623" i="3"/>
  <c r="U112" i="3"/>
  <c r="AE112" i="3"/>
  <c r="AE102" i="3"/>
  <c r="AE281" i="3"/>
  <c r="AE388" i="3"/>
  <c r="AE474" i="3"/>
  <c r="AE546" i="3"/>
  <c r="AE600" i="3"/>
  <c r="AE599" i="3"/>
  <c r="AE587" i="3"/>
  <c r="AE516" i="3"/>
  <c r="AE616" i="3"/>
  <c r="AE613" i="3"/>
  <c r="AE602" i="3"/>
  <c r="AE330" i="3"/>
  <c r="AE589" i="3"/>
  <c r="AE390" i="3"/>
  <c r="AE619" i="3"/>
  <c r="AE438" i="3"/>
  <c r="AE127" i="3"/>
  <c r="AE504" i="3"/>
  <c r="AE270" i="3"/>
  <c r="AE559" i="3"/>
  <c r="AE376" i="3"/>
  <c r="AE611" i="3"/>
  <c r="AE425" i="3"/>
  <c r="AE55" i="3"/>
  <c r="AE472" i="3"/>
  <c r="AE208" i="3"/>
  <c r="AE113" i="3"/>
  <c r="AE351" i="3"/>
  <c r="AE207" i="3"/>
  <c r="AE63" i="3"/>
  <c r="AE350" i="3"/>
  <c r="AE206" i="3"/>
  <c r="AE62" i="3"/>
  <c r="AE433" i="3"/>
  <c r="AE289" i="3"/>
  <c r="AE145" i="3"/>
  <c r="AE336" i="3"/>
  <c r="AE192" i="3"/>
  <c r="AE48" i="3"/>
  <c r="AE467" i="3"/>
  <c r="AE323" i="3"/>
  <c r="AE179" i="3"/>
  <c r="AE35" i="3"/>
  <c r="AE502" i="3"/>
  <c r="AE358" i="3"/>
  <c r="AE214" i="3"/>
  <c r="AE70" i="3"/>
  <c r="AE525" i="3"/>
  <c r="AE381" i="3"/>
  <c r="AE237" i="3"/>
  <c r="AE93" i="3"/>
  <c r="AE572" i="3"/>
  <c r="AE428" i="3"/>
  <c r="AE284" i="3"/>
  <c r="AE140" i="3"/>
  <c r="AE570" i="3"/>
  <c r="AE343" i="3"/>
  <c r="AE328" i="3"/>
  <c r="AE362" i="3"/>
  <c r="AE60" i="3"/>
  <c r="AE226" i="3"/>
  <c r="AE440" i="3"/>
  <c r="AE534" i="3"/>
  <c r="AE531" i="3"/>
  <c r="AE448" i="3"/>
  <c r="AE567" i="3"/>
  <c r="AE554" i="3"/>
  <c r="AE547" i="3"/>
  <c r="AE364" i="3"/>
  <c r="AE604" i="3"/>
  <c r="AE414" i="3"/>
  <c r="AE30" i="3"/>
  <c r="AE460" i="3"/>
  <c r="AE175" i="3"/>
  <c r="AE522" i="3"/>
  <c r="AE306" i="3"/>
  <c r="AE578" i="3"/>
  <c r="AE400" i="3"/>
  <c r="AE8" i="3"/>
  <c r="AE447" i="3"/>
  <c r="AE103" i="3"/>
  <c r="AE494" i="3"/>
  <c r="AE64" i="3"/>
  <c r="AE245" i="3"/>
  <c r="AE101" i="3"/>
  <c r="AE339" i="3"/>
  <c r="AE195" i="3"/>
  <c r="AE51" i="3"/>
  <c r="AE338" i="3"/>
  <c r="AE194" i="3"/>
  <c r="AE50" i="3"/>
  <c r="AE421" i="3"/>
  <c r="AE277" i="3"/>
  <c r="AE133" i="3"/>
  <c r="AE324" i="3"/>
  <c r="AE180" i="3"/>
  <c r="AE36" i="3"/>
  <c r="AE455" i="3"/>
  <c r="AE311" i="3"/>
  <c r="AE167" i="3"/>
  <c r="AE23" i="3"/>
  <c r="AE490" i="3"/>
  <c r="AE346" i="3"/>
  <c r="AE202" i="3"/>
  <c r="AE58" i="3"/>
  <c r="AE513" i="3"/>
  <c r="AE369" i="3"/>
  <c r="AE225" i="3"/>
  <c r="AE81" i="3"/>
  <c r="AE560" i="3"/>
  <c r="AE416" i="3"/>
  <c r="AE272" i="3"/>
  <c r="AE128" i="3"/>
  <c r="AE415" i="3"/>
  <c r="AE204" i="3"/>
  <c r="AE152" i="3"/>
  <c r="AE471" i="3"/>
  <c r="AE451" i="3"/>
  <c r="AE355" i="3"/>
  <c r="AE509" i="3"/>
  <c r="AE495" i="3"/>
  <c r="AE487" i="3"/>
  <c r="AE389" i="3"/>
  <c r="AE618" i="3"/>
  <c r="AE437" i="3"/>
  <c r="AE78" i="3"/>
  <c r="AE482" i="3"/>
  <c r="AE223" i="3"/>
  <c r="AE542" i="3"/>
  <c r="AE342" i="3"/>
  <c r="AE593" i="3"/>
  <c r="AE424" i="3"/>
  <c r="AE43" i="3"/>
  <c r="AE468" i="3"/>
  <c r="AE151" i="3"/>
  <c r="AE511" i="3"/>
  <c r="AE318" i="3"/>
  <c r="AE233" i="3"/>
  <c r="AE89" i="3"/>
  <c r="AE327" i="3"/>
  <c r="AE183" i="3"/>
  <c r="AE39" i="3"/>
  <c r="AE326" i="3"/>
  <c r="AE182" i="3"/>
  <c r="AE38" i="3"/>
  <c r="AE409" i="3"/>
  <c r="AE265" i="3"/>
  <c r="AE121" i="3"/>
  <c r="AE312" i="3"/>
  <c r="AE168" i="3"/>
  <c r="AE24" i="3"/>
  <c r="AE443" i="3"/>
  <c r="AE299" i="3"/>
  <c r="AE155" i="3"/>
  <c r="AE11" i="3"/>
  <c r="AE478" i="3"/>
  <c r="AE334" i="3"/>
  <c r="AE190" i="3"/>
  <c r="AE46" i="3"/>
  <c r="AE501" i="3"/>
  <c r="AE357" i="3"/>
  <c r="AE213" i="3"/>
  <c r="AE69" i="3"/>
  <c r="AE548" i="3"/>
  <c r="AE404" i="3"/>
  <c r="AE260" i="3"/>
  <c r="AE116" i="3"/>
  <c r="AE4" i="3"/>
  <c r="AE232" i="3"/>
  <c r="AE7" i="3"/>
  <c r="AE219" i="3"/>
  <c r="AE157" i="3"/>
  <c r="AE514" i="3"/>
  <c r="AE584" i="3"/>
  <c r="AE387" i="3"/>
  <c r="AE378" i="3"/>
  <c r="AE210" i="3"/>
  <c r="AE434" i="3"/>
  <c r="AE426" i="3"/>
  <c r="AE403" i="3"/>
  <c r="AE413" i="3"/>
  <c r="AE28" i="3"/>
  <c r="AE459" i="3"/>
  <c r="AE126" i="3"/>
  <c r="AE499" i="3"/>
  <c r="AE269" i="3"/>
  <c r="AE558" i="3"/>
  <c r="AE372" i="3"/>
  <c r="AE609" i="3"/>
  <c r="AE446" i="3"/>
  <c r="AE91" i="3"/>
  <c r="AE486" i="3"/>
  <c r="AE199" i="3"/>
  <c r="AE532" i="3"/>
  <c r="AE198" i="3"/>
  <c r="AE221" i="3"/>
  <c r="AE77" i="3"/>
  <c r="AE315" i="3"/>
  <c r="AE171" i="3"/>
  <c r="AE27" i="3"/>
  <c r="AE314" i="3"/>
  <c r="AE170" i="3"/>
  <c r="AE26" i="3"/>
  <c r="AE397" i="3"/>
  <c r="AE253" i="3"/>
  <c r="AE109" i="3"/>
  <c r="AE300" i="3"/>
  <c r="AE156" i="3"/>
  <c r="AE12" i="3"/>
  <c r="AE431" i="3"/>
  <c r="AE287" i="3"/>
  <c r="AE143" i="3"/>
  <c r="AE610" i="3"/>
  <c r="AE466" i="3"/>
  <c r="AE322" i="3"/>
  <c r="AE178" i="3"/>
  <c r="AE34" i="3"/>
  <c r="AE489" i="3"/>
  <c r="AE345" i="3"/>
  <c r="AE201" i="3"/>
  <c r="AE57" i="3"/>
  <c r="AE536" i="3"/>
  <c r="AE392" i="3"/>
  <c r="AE248" i="3"/>
  <c r="AE104" i="3"/>
  <c r="AE605" i="3"/>
  <c r="AE82" i="3"/>
  <c r="AE257" i="3"/>
  <c r="AE246" i="3"/>
  <c r="AE6" i="3"/>
  <c r="AE352" i="3"/>
  <c r="AE293" i="3"/>
  <c r="AE282" i="3"/>
  <c r="AE436" i="3"/>
  <c r="AE76" i="3"/>
  <c r="AE480" i="3"/>
  <c r="AE174" i="3"/>
  <c r="AE521" i="3"/>
  <c r="AE305" i="3"/>
  <c r="AE577" i="3"/>
  <c r="AE399" i="3"/>
  <c r="AE42" i="3"/>
  <c r="AE463" i="3"/>
  <c r="AE139" i="3"/>
  <c r="AE508" i="3"/>
  <c r="AE247" i="3"/>
  <c r="AE552" i="3"/>
  <c r="AE54" i="3"/>
  <c r="AE209" i="3"/>
  <c r="AE65" i="3"/>
  <c r="AE303" i="3"/>
  <c r="AE159" i="3"/>
  <c r="AE15" i="3"/>
  <c r="AE302" i="3"/>
  <c r="AE158" i="3"/>
  <c r="AE14" i="3"/>
  <c r="AE385" i="3"/>
  <c r="AE241" i="3"/>
  <c r="AE97" i="3"/>
  <c r="AE288" i="3"/>
  <c r="AE144" i="3"/>
  <c r="AE563" i="3"/>
  <c r="AE419" i="3"/>
  <c r="AE275" i="3"/>
  <c r="AE131" i="3"/>
  <c r="AE598" i="3"/>
  <c r="AE454" i="3"/>
  <c r="AE310" i="3"/>
  <c r="AE166" i="3"/>
  <c r="AE22" i="3"/>
  <c r="AE477" i="3"/>
  <c r="AE333" i="3"/>
  <c r="AE189" i="3"/>
  <c r="AE45" i="3"/>
  <c r="AE524" i="3"/>
  <c r="AE380" i="3"/>
  <c r="AE236" i="3"/>
  <c r="AE92" i="3"/>
  <c r="AE150" i="3"/>
  <c r="AE594" i="3"/>
  <c r="AE125" i="3"/>
  <c r="AE445" i="3"/>
  <c r="AE191" i="3"/>
  <c r="AE249" i="3"/>
  <c r="AE100" i="3"/>
  <c r="AE18" i="3"/>
  <c r="AE617" i="3"/>
  <c r="AE160" i="3"/>
  <c r="AE148" i="3"/>
  <c r="AE19" i="3"/>
  <c r="AE458" i="3"/>
  <c r="AE124" i="3"/>
  <c r="AE498" i="3"/>
  <c r="AE222" i="3"/>
  <c r="AE541" i="3"/>
  <c r="AE341" i="3"/>
  <c r="AE592" i="3"/>
  <c r="AE423" i="3"/>
  <c r="AE90" i="3"/>
  <c r="AE485" i="3"/>
  <c r="AE187" i="3"/>
  <c r="AE529" i="3"/>
  <c r="AE283" i="3"/>
  <c r="AE568" i="3"/>
  <c r="AE581" i="3"/>
  <c r="AE197" i="3"/>
  <c r="AE53" i="3"/>
  <c r="AE291" i="3"/>
  <c r="AE147" i="3"/>
  <c r="AE3" i="3"/>
  <c r="AE290" i="3"/>
  <c r="AE146" i="3"/>
  <c r="AE517" i="3"/>
  <c r="AE373" i="3"/>
  <c r="AE229" i="3"/>
  <c r="AE85" i="3"/>
  <c r="AE276" i="3"/>
  <c r="AE132" i="3"/>
  <c r="AE551" i="3"/>
  <c r="AE407" i="3"/>
  <c r="AE263" i="3"/>
  <c r="AE119" i="3"/>
  <c r="AE586" i="3"/>
  <c r="AE442" i="3"/>
  <c r="AE298" i="3"/>
  <c r="AE154" i="3"/>
  <c r="AE10" i="3"/>
  <c r="AE465" i="3"/>
  <c r="AE321" i="3"/>
  <c r="AE177" i="3"/>
  <c r="AE33" i="3"/>
  <c r="AE512" i="3"/>
  <c r="AE368" i="3"/>
  <c r="AE224" i="3"/>
  <c r="AE80" i="3"/>
  <c r="AE365" i="3"/>
  <c r="AE335" i="3"/>
  <c r="AE588" i="3"/>
  <c r="AE582" i="3"/>
  <c r="AE569" i="3"/>
  <c r="AE614" i="3"/>
  <c r="AE603" i="3"/>
  <c r="AE67" i="3"/>
  <c r="AE475" i="3"/>
  <c r="AE172" i="3"/>
  <c r="AE520" i="3"/>
  <c r="AE268" i="3"/>
  <c r="AE557" i="3"/>
  <c r="AE367" i="3"/>
  <c r="AE607" i="3"/>
  <c r="AE444" i="3"/>
  <c r="AE138" i="3"/>
  <c r="AE507" i="3"/>
  <c r="AE235" i="3"/>
  <c r="AE545" i="3"/>
  <c r="AE319" i="3"/>
  <c r="AE583" i="3"/>
  <c r="AE530" i="3"/>
  <c r="AE185" i="3"/>
  <c r="AE41" i="3"/>
  <c r="AE279" i="3"/>
  <c r="AE135" i="3"/>
  <c r="AE422" i="3"/>
  <c r="AE278" i="3"/>
  <c r="AE134" i="3"/>
  <c r="AE505" i="3"/>
  <c r="AE361" i="3"/>
  <c r="AE217" i="3"/>
  <c r="AE73" i="3"/>
  <c r="AE264" i="3"/>
  <c r="AE120" i="3"/>
  <c r="AE539" i="3"/>
  <c r="AE395" i="3"/>
  <c r="AE251" i="3"/>
  <c r="AE107" i="3"/>
  <c r="AE574" i="3"/>
  <c r="AE430" i="3"/>
  <c r="AE286" i="3"/>
  <c r="AE142" i="3"/>
  <c r="AE597" i="3"/>
  <c r="AE453" i="3"/>
  <c r="AE309" i="3"/>
  <c r="AE165" i="3"/>
  <c r="AE21" i="3"/>
  <c r="AE500" i="3"/>
  <c r="AE356" i="3"/>
  <c r="AE212" i="3"/>
  <c r="AE68" i="3"/>
  <c r="AE114" i="3"/>
  <c r="AE483" i="3"/>
  <c r="AE401" i="3"/>
  <c r="AE52" i="3"/>
  <c r="AE75" i="3"/>
  <c r="AE13" i="3"/>
  <c r="AE370" i="3"/>
  <c r="AE296" i="3"/>
  <c r="AE533" i="3"/>
  <c r="AE518" i="3"/>
  <c r="AE510" i="3"/>
  <c r="AE566" i="3"/>
  <c r="AE553" i="3"/>
  <c r="AE115" i="3"/>
  <c r="AE497" i="3"/>
  <c r="AE220" i="3"/>
  <c r="AE540" i="3"/>
  <c r="AE304" i="3"/>
  <c r="AE576" i="3"/>
  <c r="AE396" i="3"/>
  <c r="AE40" i="3"/>
  <c r="AE462" i="3"/>
  <c r="AE186" i="3"/>
  <c r="AE528" i="3"/>
  <c r="AE280" i="3"/>
  <c r="AE565" i="3"/>
  <c r="AE354" i="3"/>
  <c r="AE601" i="3"/>
  <c r="AE470" i="3"/>
  <c r="AE173" i="3"/>
  <c r="AE29" i="3"/>
  <c r="AE267" i="3"/>
  <c r="AE123" i="3"/>
  <c r="AE410" i="3"/>
  <c r="AE266" i="3"/>
  <c r="AE122" i="3"/>
  <c r="AE493" i="3"/>
  <c r="AE349" i="3"/>
  <c r="AE205" i="3"/>
  <c r="AE61" i="3"/>
  <c r="AE252" i="3"/>
  <c r="AE108" i="3"/>
  <c r="AE527" i="3"/>
  <c r="AE383" i="3"/>
  <c r="AE239" i="3"/>
  <c r="AE95" i="3"/>
  <c r="AE562" i="3"/>
  <c r="AE418" i="3"/>
  <c r="AE274" i="3"/>
  <c r="AE130" i="3"/>
  <c r="AE585" i="3"/>
  <c r="AE441" i="3"/>
  <c r="AE297" i="3"/>
  <c r="AE153" i="3"/>
  <c r="AE9" i="3"/>
  <c r="AE488" i="3"/>
  <c r="AE344" i="3"/>
  <c r="AE200" i="3"/>
  <c r="AE56" i="3"/>
  <c r="AE66" i="3"/>
  <c r="AE543" i="3"/>
  <c r="AE450" i="3"/>
  <c r="AE363" i="3"/>
  <c r="AE74" i="3"/>
  <c r="AE479" i="3"/>
  <c r="AE393" i="3"/>
  <c r="AE456" i="3"/>
  <c r="AE449" i="3"/>
  <c r="AE435" i="3"/>
  <c r="AE496" i="3"/>
  <c r="AE492" i="3"/>
  <c r="AE163" i="3"/>
  <c r="AE519" i="3"/>
  <c r="AE259" i="3"/>
  <c r="AE556" i="3"/>
  <c r="AE340" i="3"/>
  <c r="AE591" i="3"/>
  <c r="AE420" i="3"/>
  <c r="AE88" i="3"/>
  <c r="AE484" i="3"/>
  <c r="AE234" i="3"/>
  <c r="AE544" i="3"/>
  <c r="AE316" i="3"/>
  <c r="AE580" i="3"/>
  <c r="AE384" i="3"/>
  <c r="AE615" i="3"/>
  <c r="AE402" i="3"/>
  <c r="AE161" i="3"/>
  <c r="AE17" i="3"/>
  <c r="AE255" i="3"/>
  <c r="AE111" i="3"/>
  <c r="AE398" i="3"/>
  <c r="AE254" i="3"/>
  <c r="AE110" i="3"/>
  <c r="AE481" i="3"/>
  <c r="AE337" i="3"/>
  <c r="AE193" i="3"/>
  <c r="AE49" i="3"/>
  <c r="AE240" i="3"/>
  <c r="AE96" i="3"/>
  <c r="AE515" i="3"/>
  <c r="AE371" i="3"/>
  <c r="AE227" i="3"/>
  <c r="AE83" i="3"/>
  <c r="AE550" i="3"/>
  <c r="AE406" i="3"/>
  <c r="AE262" i="3"/>
  <c r="AE118" i="3"/>
  <c r="AE573" i="3"/>
  <c r="AE429" i="3"/>
  <c r="AE285" i="3"/>
  <c r="AE141" i="3"/>
  <c r="AE620" i="3"/>
  <c r="AE476" i="3"/>
  <c r="AE332" i="3"/>
  <c r="AE188" i="3"/>
  <c r="AE44" i="3"/>
  <c r="AE79" i="3"/>
  <c r="AE47" i="3"/>
  <c r="AE379" i="3"/>
  <c r="AE360" i="3"/>
  <c r="AE353" i="3"/>
  <c r="AE427" i="3"/>
  <c r="AE412" i="3"/>
  <c r="AE211" i="3"/>
  <c r="AE535" i="3"/>
  <c r="AE295" i="3"/>
  <c r="AE575" i="3"/>
  <c r="AE366" i="3"/>
  <c r="AE606" i="3"/>
  <c r="AE439" i="3"/>
  <c r="AE136" i="3"/>
  <c r="AE506" i="3"/>
  <c r="AE271" i="3"/>
  <c r="AE564" i="3"/>
  <c r="AE348" i="3"/>
  <c r="AE595" i="3"/>
  <c r="AE408" i="3"/>
  <c r="AE473" i="3"/>
  <c r="AE317" i="3"/>
  <c r="AE149" i="3"/>
  <c r="AE5" i="3"/>
  <c r="AE243" i="3"/>
  <c r="AE99" i="3"/>
  <c r="AE386" i="3"/>
  <c r="AE242" i="3"/>
  <c r="AE98" i="3"/>
  <c r="AE469" i="3"/>
  <c r="AE325" i="3"/>
  <c r="AE181" i="3"/>
  <c r="AE37" i="3"/>
  <c r="AE228" i="3"/>
  <c r="AE84" i="3"/>
  <c r="AE503" i="3"/>
  <c r="AE359" i="3"/>
  <c r="AE215" i="3"/>
  <c r="AE71" i="3"/>
  <c r="AE538" i="3"/>
  <c r="AE394" i="3"/>
  <c r="AE250" i="3"/>
  <c r="AE106" i="3"/>
  <c r="AE561" i="3"/>
  <c r="AE417" i="3"/>
  <c r="AE273" i="3"/>
  <c r="AE129" i="3"/>
  <c r="AE608" i="3"/>
  <c r="AE464" i="3"/>
  <c r="AE320" i="3"/>
  <c r="AE176" i="3"/>
  <c r="AE32" i="3"/>
  <c r="AE294" i="3"/>
  <c r="AE301" i="3"/>
  <c r="AE105" i="3"/>
  <c r="AE256" i="3"/>
  <c r="AE244" i="3"/>
  <c r="AE162" i="3"/>
  <c r="AE329" i="3"/>
  <c r="AE292" i="3"/>
  <c r="AE258" i="3"/>
  <c r="AE555" i="3"/>
  <c r="AE331" i="3"/>
  <c r="AE590" i="3"/>
  <c r="AE391" i="3"/>
  <c r="AE31" i="3"/>
  <c r="AE461" i="3"/>
  <c r="AE184" i="3"/>
  <c r="AE523" i="3"/>
  <c r="AE307" i="3"/>
  <c r="AE579" i="3"/>
  <c r="AE377" i="3"/>
  <c r="AE612" i="3"/>
  <c r="AE432" i="3"/>
  <c r="AE411" i="3"/>
  <c r="AE196" i="3"/>
  <c r="AE137" i="3"/>
  <c r="AE375" i="3"/>
  <c r="AE231" i="3"/>
  <c r="AE87" i="3"/>
  <c r="AE374" i="3"/>
  <c r="AE230" i="3"/>
  <c r="AE86" i="3"/>
  <c r="AE457" i="3"/>
  <c r="AE313" i="3"/>
  <c r="AE169" i="3"/>
  <c r="AE25" i="3"/>
  <c r="AE216" i="3"/>
  <c r="AE72" i="3"/>
  <c r="AE491" i="3"/>
  <c r="AE347" i="3"/>
  <c r="AE203" i="3"/>
  <c r="AE59" i="3"/>
  <c r="AE526" i="3"/>
  <c r="AE382" i="3"/>
  <c r="AE238" i="3"/>
  <c r="AE94" i="3"/>
  <c r="AE549" i="3"/>
  <c r="AE405" i="3"/>
  <c r="AE261" i="3"/>
  <c r="AE117" i="3"/>
  <c r="AE596" i="3"/>
  <c r="AE452" i="3"/>
  <c r="AE308" i="3"/>
  <c r="AE164" i="3"/>
  <c r="AE20" i="3"/>
  <c r="AE571" i="3"/>
  <c r="AE218" i="3"/>
  <c r="AE537" i="3"/>
  <c r="AE16" i="3"/>
  <c r="AD11" i="3"/>
  <c r="AD155" i="3"/>
  <c r="AD299" i="3"/>
  <c r="AD60" i="3"/>
  <c r="AD204" i="3"/>
  <c r="AD348" i="3"/>
  <c r="AD109" i="3"/>
  <c r="AD253" i="3"/>
  <c r="AD14" i="3"/>
  <c r="AD158" i="3"/>
  <c r="AD28" i="3"/>
  <c r="AD94" i="3"/>
  <c r="AD309" i="3"/>
  <c r="AD473" i="3"/>
  <c r="AD617" i="3"/>
  <c r="AD56" i="3"/>
  <c r="AD280" i="3"/>
  <c r="AD450" i="3"/>
  <c r="AD594" i="3"/>
  <c r="AD322" i="3"/>
  <c r="AD190" i="3"/>
  <c r="AD391" i="3"/>
  <c r="AD535" i="3"/>
  <c r="AD457" i="3"/>
  <c r="AD471" i="3"/>
  <c r="AD211" i="3"/>
  <c r="AD404" i="3"/>
  <c r="AD548" i="3"/>
  <c r="AD339" i="3"/>
  <c r="AD63" i="3"/>
  <c r="AD283" i="3"/>
  <c r="AD453" i="3"/>
  <c r="AD597" i="3"/>
  <c r="AD21" i="3"/>
  <c r="AD249" i="3"/>
  <c r="AD430" i="3"/>
  <c r="AD574" i="3"/>
  <c r="AD238" i="3"/>
  <c r="AD162" i="3"/>
  <c r="AD366" i="3"/>
  <c r="AD515" i="3"/>
  <c r="AD91" i="3"/>
  <c r="AD147" i="3"/>
  <c r="AD352" i="3"/>
  <c r="AD504" i="3"/>
  <c r="AD46" i="3"/>
  <c r="AD565" i="3"/>
  <c r="AD615" i="3"/>
  <c r="AD223" i="3"/>
  <c r="AD412" i="3"/>
  <c r="AD556" i="3"/>
  <c r="AD566" i="3"/>
  <c r="AD73" i="3"/>
  <c r="AD581" i="3"/>
  <c r="AD92" i="3"/>
  <c r="AD561" i="3"/>
  <c r="AD304" i="3"/>
  <c r="AD291" i="3"/>
  <c r="AD55" i="3"/>
  <c r="AD154" i="3"/>
  <c r="AD20" i="3"/>
  <c r="AD333" i="3"/>
  <c r="AD187" i="3"/>
  <c r="AD23" i="3"/>
  <c r="AD167" i="3"/>
  <c r="AD311" i="3"/>
  <c r="AD72" i="3"/>
  <c r="AD216" i="3"/>
  <c r="AD360" i="3"/>
  <c r="AD121" i="3"/>
  <c r="AD265" i="3"/>
  <c r="AD26" i="3"/>
  <c r="AD170" i="3"/>
  <c r="AD40" i="3"/>
  <c r="AD116" i="3"/>
  <c r="AD327" i="3"/>
  <c r="AD485" i="3"/>
  <c r="AD338" i="3"/>
  <c r="AD78" i="3"/>
  <c r="AD295" i="3"/>
  <c r="AD462" i="3"/>
  <c r="AD606" i="3"/>
  <c r="AD447" i="3"/>
  <c r="AD210" i="3"/>
  <c r="AD403" i="3"/>
  <c r="AD547" i="3"/>
  <c r="AD493" i="3"/>
  <c r="AD591" i="3"/>
  <c r="AD231" i="3"/>
  <c r="AD416" i="3"/>
  <c r="AD560" i="3"/>
  <c r="AD458" i="3"/>
  <c r="AD81" i="3"/>
  <c r="AD298" i="3"/>
  <c r="AD465" i="3"/>
  <c r="AD609" i="3"/>
  <c r="AD43" i="3"/>
  <c r="AD269" i="3"/>
  <c r="AD442" i="3"/>
  <c r="AD586" i="3"/>
  <c r="AD387" i="3"/>
  <c r="AD178" i="3"/>
  <c r="AD381" i="3"/>
  <c r="AD527" i="3"/>
  <c r="AD354" i="3"/>
  <c r="AD163" i="3"/>
  <c r="AD367" i="3"/>
  <c r="AD516" i="3"/>
  <c r="AD68" i="3"/>
  <c r="AD113" i="3"/>
  <c r="AD10" i="3"/>
  <c r="AD243" i="3"/>
  <c r="AD424" i="3"/>
  <c r="AD568" i="3"/>
  <c r="AD9" i="3"/>
  <c r="AD312" i="3"/>
  <c r="AD33" i="3"/>
  <c r="AD344" i="3"/>
  <c r="AD579" i="3"/>
  <c r="AD434" i="3"/>
  <c r="AD612" i="3"/>
  <c r="AD131" i="3"/>
  <c r="AD324" i="3"/>
  <c r="AD279" i="3"/>
  <c r="AD570" i="3"/>
  <c r="AD202" i="3"/>
  <c r="AD248" i="3"/>
  <c r="AD554" i="3"/>
  <c r="AD7" i="3"/>
  <c r="AD35" i="3"/>
  <c r="AD179" i="3"/>
  <c r="AD323" i="3"/>
  <c r="AD84" i="3"/>
  <c r="AD228" i="3"/>
  <c r="AD372" i="3"/>
  <c r="AD133" i="3"/>
  <c r="AD277" i="3"/>
  <c r="AD38" i="3"/>
  <c r="AD182" i="3"/>
  <c r="AD52" i="3"/>
  <c r="AD136" i="3"/>
  <c r="AD342" i="3"/>
  <c r="AD497" i="3"/>
  <c r="AD589" i="3"/>
  <c r="AD99" i="3"/>
  <c r="AD310" i="3"/>
  <c r="AD474" i="3"/>
  <c r="AD618" i="3"/>
  <c r="AD567" i="3"/>
  <c r="AD226" i="3"/>
  <c r="AD415" i="3"/>
  <c r="AD559" i="3"/>
  <c r="AD529" i="3"/>
  <c r="AD19" i="3"/>
  <c r="AD247" i="3"/>
  <c r="AD428" i="3"/>
  <c r="AD572" i="3"/>
  <c r="AD590" i="3"/>
  <c r="AD103" i="3"/>
  <c r="AD316" i="3"/>
  <c r="AD477" i="3"/>
  <c r="AD164" i="3"/>
  <c r="AD65" i="3"/>
  <c r="AD284" i="3"/>
  <c r="AD454" i="3"/>
  <c r="AD598" i="3"/>
  <c r="AD483" i="3"/>
  <c r="AD198" i="3"/>
  <c r="AD395" i="3"/>
  <c r="AD539" i="3"/>
  <c r="AD542" i="3"/>
  <c r="AD183" i="3"/>
  <c r="AD382" i="3"/>
  <c r="AD528" i="3"/>
  <c r="AD90" i="3"/>
  <c r="AD221" i="3"/>
  <c r="AD32" i="3"/>
  <c r="AD259" i="3"/>
  <c r="AD436" i="3"/>
  <c r="AD580" i="3"/>
  <c r="AD150" i="3"/>
  <c r="AD519" i="3"/>
  <c r="AD263" i="3"/>
  <c r="AD361" i="3"/>
  <c r="AD437" i="3"/>
  <c r="AD506" i="3"/>
  <c r="AD363" i="3"/>
  <c r="AD197" i="3"/>
  <c r="AD468" i="3"/>
  <c r="AD373" i="3"/>
  <c r="AD426" i="3"/>
  <c r="AD175" i="3"/>
  <c r="AD355" i="3"/>
  <c r="AD106" i="3"/>
  <c r="AD47" i="3"/>
  <c r="AD191" i="3"/>
  <c r="AD335" i="3"/>
  <c r="AD96" i="3"/>
  <c r="AD240" i="3"/>
  <c r="AD384" i="3"/>
  <c r="AD145" i="3"/>
  <c r="AD289" i="3"/>
  <c r="AD50" i="3"/>
  <c r="AD194" i="3"/>
  <c r="AD64" i="3"/>
  <c r="AD152" i="3"/>
  <c r="AD357" i="3"/>
  <c r="AD509" i="3"/>
  <c r="AD129" i="3"/>
  <c r="AD117" i="3"/>
  <c r="AD328" i="3"/>
  <c r="AD486" i="3"/>
  <c r="AD290" i="3"/>
  <c r="AD18" i="3"/>
  <c r="AD246" i="3"/>
  <c r="AD427" i="3"/>
  <c r="AD571" i="3"/>
  <c r="AD613" i="3"/>
  <c r="AD41" i="3"/>
  <c r="AD267" i="3"/>
  <c r="AD440" i="3"/>
  <c r="AD584" i="3"/>
  <c r="AD53" i="3"/>
  <c r="AD124" i="3"/>
  <c r="AD331" i="3"/>
  <c r="AD489" i="3"/>
  <c r="AD409" i="3"/>
  <c r="AD82" i="3"/>
  <c r="AD302" i="3"/>
  <c r="AD466" i="3"/>
  <c r="AD610" i="3"/>
  <c r="AD603" i="3"/>
  <c r="AD214" i="3"/>
  <c r="AD407" i="3"/>
  <c r="AD551" i="3"/>
  <c r="AD292" i="3"/>
  <c r="AD199" i="3"/>
  <c r="AD396" i="3"/>
  <c r="AD540" i="3"/>
  <c r="AD128" i="3"/>
  <c r="AD306" i="3"/>
  <c r="AD54" i="3"/>
  <c r="AD278" i="3"/>
  <c r="AD448" i="3"/>
  <c r="AD592" i="3"/>
  <c r="AD307" i="3"/>
  <c r="AD168" i="3"/>
  <c r="AD260" i="3"/>
  <c r="AD499" i="3"/>
  <c r="AD512" i="3"/>
  <c r="AD70" i="3"/>
  <c r="AD479" i="3"/>
  <c r="AD520" i="3"/>
  <c r="AD180" i="3"/>
  <c r="AD134" i="3"/>
  <c r="AD593" i="3"/>
  <c r="AD511" i="3"/>
  <c r="AD577" i="3"/>
  <c r="AD406" i="3"/>
  <c r="AD445" i="3"/>
  <c r="AD459" i="3"/>
  <c r="AD59" i="3"/>
  <c r="AD203" i="3"/>
  <c r="AD347" i="3"/>
  <c r="AD108" i="3"/>
  <c r="AD252" i="3"/>
  <c r="AD13" i="3"/>
  <c r="AD157" i="3"/>
  <c r="AD301" i="3"/>
  <c r="AD62" i="3"/>
  <c r="AD206" i="3"/>
  <c r="AD76" i="3"/>
  <c r="AD172" i="3"/>
  <c r="AD375" i="3"/>
  <c r="AD521" i="3"/>
  <c r="AD369" i="3"/>
  <c r="AD137" i="3"/>
  <c r="AD343" i="3"/>
  <c r="AD498" i="3"/>
  <c r="AD505" i="3"/>
  <c r="AD39" i="3"/>
  <c r="AD262" i="3"/>
  <c r="AD439" i="3"/>
  <c r="AD583" i="3"/>
  <c r="AD51" i="3"/>
  <c r="AD58" i="3"/>
  <c r="AD282" i="3"/>
  <c r="AD452" i="3"/>
  <c r="AD596" i="3"/>
  <c r="AD166" i="3"/>
  <c r="AD140" i="3"/>
  <c r="AD346" i="3"/>
  <c r="AD501" i="3"/>
  <c r="AD541" i="3"/>
  <c r="AD104" i="3"/>
  <c r="AD317" i="3"/>
  <c r="AD478" i="3"/>
  <c r="AD220" i="3"/>
  <c r="AD5" i="3"/>
  <c r="AD234" i="3"/>
  <c r="AD419" i="3"/>
  <c r="AD563" i="3"/>
  <c r="AD507" i="3"/>
  <c r="AD219" i="3"/>
  <c r="AD408" i="3"/>
  <c r="AD552" i="3"/>
  <c r="AD148" i="3"/>
  <c r="AD410" i="3"/>
  <c r="AD75" i="3"/>
  <c r="AD293" i="3"/>
  <c r="AD460" i="3"/>
  <c r="AD604" i="3"/>
  <c r="AD423" i="3"/>
  <c r="AD616" i="3"/>
  <c r="AD119" i="3"/>
  <c r="AD122" i="3"/>
  <c r="AD225" i="3"/>
  <c r="AD256" i="3"/>
  <c r="AD232" i="3"/>
  <c r="AD538" i="3"/>
  <c r="AD89" i="3"/>
  <c r="AD399" i="3"/>
  <c r="AD275" i="3"/>
  <c r="AD85" i="3"/>
  <c r="AD449" i="3"/>
  <c r="AD602" i="3"/>
  <c r="AD524" i="3"/>
  <c r="AD550" i="3"/>
  <c r="AD319" i="3"/>
  <c r="AD398" i="3"/>
  <c r="AD71" i="3"/>
  <c r="AD215" i="3"/>
  <c r="AD359" i="3"/>
  <c r="AD120" i="3"/>
  <c r="AD264" i="3"/>
  <c r="AD25" i="3"/>
  <c r="AD169" i="3"/>
  <c r="AD313" i="3"/>
  <c r="AD74" i="3"/>
  <c r="AD218" i="3"/>
  <c r="AD88" i="3"/>
  <c r="AD188" i="3"/>
  <c r="AD389" i="3"/>
  <c r="AD533" i="3"/>
  <c r="AD518" i="3"/>
  <c r="AD153" i="3"/>
  <c r="AD358" i="3"/>
  <c r="AD510" i="3"/>
  <c r="AD69" i="3"/>
  <c r="AD57" i="3"/>
  <c r="AD281" i="3"/>
  <c r="AD451" i="3"/>
  <c r="AD595" i="3"/>
  <c r="AD237" i="3"/>
  <c r="AD80" i="3"/>
  <c r="AD297" i="3"/>
  <c r="AD464" i="3"/>
  <c r="AD608" i="3"/>
  <c r="AD258" i="3"/>
  <c r="AD160" i="3"/>
  <c r="AD364" i="3"/>
  <c r="AD513" i="3"/>
  <c r="AD30" i="3"/>
  <c r="AD125" i="3"/>
  <c r="AD332" i="3"/>
  <c r="AD490" i="3"/>
  <c r="AD433" i="3"/>
  <c r="AD22" i="3"/>
  <c r="AD250" i="3"/>
  <c r="AD431" i="3"/>
  <c r="AD575" i="3"/>
  <c r="AD6" i="3"/>
  <c r="AD235" i="3"/>
  <c r="AD420" i="3"/>
  <c r="AD564" i="3"/>
  <c r="AD184" i="3"/>
  <c r="AD482" i="3"/>
  <c r="AD93" i="3"/>
  <c r="AD308" i="3"/>
  <c r="AD472" i="3"/>
  <c r="AD555" i="3"/>
  <c r="AD417" i="3"/>
  <c r="AD171" i="3"/>
  <c r="AD213" i="3"/>
  <c r="AD83" i="3"/>
  <c r="AD227" i="3"/>
  <c r="AD371" i="3"/>
  <c r="AD132" i="3"/>
  <c r="AD276" i="3"/>
  <c r="AD37" i="3"/>
  <c r="AD181" i="3"/>
  <c r="AD325" i="3"/>
  <c r="AD86" i="3"/>
  <c r="AD230" i="3"/>
  <c r="AD100" i="3"/>
  <c r="AD208" i="3"/>
  <c r="AD401" i="3"/>
  <c r="AD545" i="3"/>
  <c r="AD31" i="3"/>
  <c r="AD173" i="3"/>
  <c r="AD376" i="3"/>
  <c r="AD522" i="3"/>
  <c r="AD201" i="3"/>
  <c r="AD79" i="3"/>
  <c r="AD296" i="3"/>
  <c r="AD463" i="3"/>
  <c r="AD607" i="3"/>
  <c r="AD386" i="3"/>
  <c r="AD102" i="3"/>
  <c r="AD315" i="3"/>
  <c r="AD476" i="3"/>
  <c r="AD620" i="3"/>
  <c r="AD340" i="3"/>
  <c r="AD176" i="3"/>
  <c r="AD379" i="3"/>
  <c r="AD525" i="3"/>
  <c r="AD257" i="3"/>
  <c r="AD141" i="3"/>
  <c r="AD350" i="3"/>
  <c r="AD502" i="3"/>
  <c r="AD553" i="3"/>
  <c r="AD44" i="3"/>
  <c r="AD270" i="3"/>
  <c r="AD443" i="3"/>
  <c r="AD587" i="3"/>
  <c r="AD27" i="3"/>
  <c r="AD255" i="3"/>
  <c r="AD432" i="3"/>
  <c r="AD576" i="3"/>
  <c r="AD272" i="3"/>
  <c r="AD578" i="3"/>
  <c r="AD115" i="3"/>
  <c r="AD326" i="3"/>
  <c r="AD484" i="3"/>
  <c r="AD397" i="3"/>
  <c r="AD138" i="3"/>
  <c r="AD200" i="3"/>
  <c r="AD469" i="3"/>
  <c r="AD95" i="3"/>
  <c r="AD239" i="3"/>
  <c r="AD3" i="3"/>
  <c r="AD144" i="3"/>
  <c r="AD288" i="3"/>
  <c r="AD49" i="3"/>
  <c r="AD193" i="3"/>
  <c r="AD337" i="3"/>
  <c r="AD98" i="3"/>
  <c r="AD242" i="3"/>
  <c r="AD112" i="3"/>
  <c r="AD224" i="3"/>
  <c r="AD413" i="3"/>
  <c r="AD557" i="3"/>
  <c r="AD222" i="3"/>
  <c r="AD189" i="3"/>
  <c r="AD390" i="3"/>
  <c r="AD534" i="3"/>
  <c r="AD321" i="3"/>
  <c r="AD101" i="3"/>
  <c r="AD314" i="3"/>
  <c r="AD475" i="3"/>
  <c r="AD619" i="3"/>
  <c r="AD494" i="3"/>
  <c r="AD123" i="3"/>
  <c r="AD330" i="3"/>
  <c r="AD488" i="3"/>
  <c r="AD236" i="3"/>
  <c r="AD435" i="3"/>
  <c r="AD196" i="3"/>
  <c r="AD393" i="3"/>
  <c r="AD537" i="3"/>
  <c r="AD422" i="3"/>
  <c r="AD161" i="3"/>
  <c r="AD365" i="3"/>
  <c r="AD514" i="3"/>
  <c r="AD149" i="3"/>
  <c r="AD66" i="3"/>
  <c r="AD285" i="3"/>
  <c r="AD455" i="3"/>
  <c r="AD599" i="3"/>
  <c r="AD45" i="3"/>
  <c r="AD271" i="3"/>
  <c r="AD444" i="3"/>
  <c r="AD588" i="3"/>
  <c r="AD305" i="3"/>
  <c r="AD130" i="3"/>
  <c r="AD135" i="3"/>
  <c r="AD341" i="3"/>
  <c r="AD496" i="3"/>
  <c r="AD8" i="3"/>
  <c r="AD456" i="3"/>
  <c r="AD24" i="3"/>
  <c r="AD266" i="3"/>
  <c r="AD414" i="3"/>
  <c r="AD159" i="3"/>
  <c r="AD394" i="3"/>
  <c r="AD421" i="3"/>
  <c r="AD229" i="3"/>
  <c r="AD245" i="3"/>
  <c r="AD320" i="3"/>
  <c r="AD429" i="3"/>
  <c r="AD491" i="3"/>
  <c r="AD388" i="3"/>
  <c r="AD107" i="3"/>
  <c r="AD251" i="3"/>
  <c r="AD12" i="3"/>
  <c r="AD156" i="3"/>
  <c r="AD300" i="3"/>
  <c r="AD61" i="3"/>
  <c r="AD205" i="3"/>
  <c r="AD349" i="3"/>
  <c r="AD110" i="3"/>
  <c r="AD254" i="3"/>
  <c r="AD15" i="3"/>
  <c r="AD244" i="3"/>
  <c r="AD425" i="3"/>
  <c r="AD569" i="3"/>
  <c r="AD411" i="3"/>
  <c r="AD209" i="3"/>
  <c r="AD402" i="3"/>
  <c r="AD546" i="3"/>
  <c r="AD446" i="3"/>
  <c r="AD118" i="3"/>
  <c r="AD329" i="3"/>
  <c r="AD487" i="3"/>
  <c r="AD111" i="3"/>
  <c r="AD614" i="3"/>
  <c r="AD139" i="3"/>
  <c r="AD345" i="3"/>
  <c r="AD500" i="3"/>
  <c r="AD368" i="3"/>
  <c r="AD495" i="3"/>
  <c r="AD212" i="3"/>
  <c r="AD405" i="3"/>
  <c r="AD549" i="3"/>
  <c r="AD530" i="3"/>
  <c r="AD177" i="3"/>
  <c r="AD380" i="3"/>
  <c r="AD526" i="3"/>
  <c r="AD273" i="3"/>
  <c r="AD87" i="3"/>
  <c r="AD303" i="3"/>
  <c r="AD467" i="3"/>
  <c r="AD611" i="3"/>
  <c r="AD67" i="3"/>
  <c r="AD286" i="3"/>
  <c r="AD600" i="3"/>
  <c r="AD353" i="3"/>
  <c r="AD274" i="3"/>
  <c r="AD151" i="3"/>
  <c r="AD356" i="3"/>
  <c r="AD508" i="3"/>
  <c r="AD165" i="3"/>
  <c r="AD217" i="3"/>
  <c r="AD558" i="3"/>
  <c r="AD481" i="3"/>
  <c r="AD105" i="3"/>
  <c r="AD374" i="3"/>
  <c r="AD36" i="3"/>
  <c r="AD4" i="3"/>
  <c r="AD17" i="3"/>
  <c r="AD362" i="3"/>
  <c r="AD378" i="3"/>
  <c r="AD573" i="3"/>
  <c r="AD126" i="3"/>
  <c r="AD480" i="3"/>
  <c r="AD532" i="3"/>
  <c r="AD143" i="3"/>
  <c r="AD287" i="3"/>
  <c r="AD48" i="3"/>
  <c r="AD192" i="3"/>
  <c r="AD336" i="3"/>
  <c r="AD97" i="3"/>
  <c r="AD241" i="3"/>
  <c r="AD385" i="3"/>
  <c r="AD146" i="3"/>
  <c r="AD16" i="3"/>
  <c r="AD77" i="3"/>
  <c r="AD294" i="3"/>
  <c r="AD461" i="3"/>
  <c r="AD605" i="3"/>
  <c r="AD34" i="3"/>
  <c r="AD261" i="3"/>
  <c r="AD438" i="3"/>
  <c r="AD582" i="3"/>
  <c r="AD186" i="3"/>
  <c r="AD174" i="3"/>
  <c r="AD377" i="3"/>
  <c r="AD523" i="3"/>
  <c r="AD383" i="3"/>
  <c r="AD370" i="3"/>
  <c r="AD195" i="3"/>
  <c r="AD392" i="3"/>
  <c r="AD536" i="3"/>
  <c r="AD185" i="3"/>
  <c r="AD42" i="3"/>
  <c r="AD268" i="3"/>
  <c r="AD441" i="3"/>
  <c r="AD585" i="3"/>
  <c r="AD543" i="3"/>
  <c r="AD233" i="3"/>
  <c r="AD418" i="3"/>
  <c r="AD562" i="3"/>
  <c r="AD114" i="3"/>
  <c r="AD142" i="3"/>
  <c r="AD351" i="3"/>
  <c r="AD503" i="3"/>
  <c r="AD601" i="3"/>
  <c r="AD127" i="3"/>
  <c r="AD334" i="3"/>
  <c r="AD492" i="3"/>
  <c r="AD29" i="3"/>
  <c r="AD517" i="3"/>
  <c r="AD531" i="3"/>
  <c r="AD207" i="3"/>
  <c r="AD400" i="3"/>
  <c r="AD544" i="3"/>
  <c r="AD470" i="3"/>
  <c r="AD318" i="3"/>
  <c r="D67" i="2"/>
  <c r="B68" i="2"/>
  <c r="D68" i="2"/>
  <c r="D69" i="2"/>
  <c r="B79" i="2"/>
  <c r="D70" i="2"/>
  <c r="B80" i="2"/>
  <c r="D80" i="2" s="1"/>
  <c r="E50" i="2"/>
  <c r="C94" i="2"/>
  <c r="AD622" i="3"/>
  <c r="AD624" i="3"/>
  <c r="AD623" i="3"/>
  <c r="AE624" i="3"/>
  <c r="AE622" i="3"/>
  <c r="AE623" i="3"/>
  <c r="U111" i="3"/>
  <c r="U110" i="3"/>
  <c r="AC91" i="3"/>
  <c r="AC199" i="3"/>
  <c r="AC307" i="3"/>
  <c r="AC394" i="3"/>
  <c r="AC478" i="3"/>
  <c r="AC546" i="3"/>
  <c r="AC618" i="3"/>
  <c r="AC367" i="3"/>
  <c r="AC274" i="3"/>
  <c r="AC94" i="3"/>
  <c r="AC202" i="3"/>
  <c r="AC310" i="3"/>
  <c r="AC402" i="3"/>
  <c r="AC485" i="3"/>
  <c r="AC547" i="3"/>
  <c r="AC619" i="3"/>
  <c r="AC535" i="3"/>
  <c r="AC102" i="3"/>
  <c r="AC210" i="3"/>
  <c r="AC318" i="3"/>
  <c r="AC403" i="3"/>
  <c r="AC487" i="3"/>
  <c r="AC562" i="3"/>
  <c r="AC620" i="3"/>
  <c r="AC163" i="3"/>
  <c r="AC462" i="3"/>
  <c r="AC118" i="3"/>
  <c r="AC226" i="3"/>
  <c r="AC333" i="3"/>
  <c r="AC418" i="3"/>
  <c r="AC489" i="3"/>
  <c r="AC569" i="3"/>
  <c r="AC595" i="3"/>
  <c r="AC377" i="3"/>
  <c r="AC19" i="3"/>
  <c r="AC127" i="3"/>
  <c r="AC235" i="3"/>
  <c r="AC341" i="3"/>
  <c r="AC426" i="3"/>
  <c r="AC509" i="3"/>
  <c r="AC570" i="3"/>
  <c r="AC461" i="3"/>
  <c r="AC174" i="3"/>
  <c r="AC22" i="3"/>
  <c r="AC130" i="3"/>
  <c r="AC238" i="3"/>
  <c r="AC343" i="3"/>
  <c r="AC429" i="3"/>
  <c r="AC510" i="3"/>
  <c r="AC573" i="3"/>
  <c r="AC370" i="3"/>
  <c r="AC66" i="3"/>
  <c r="AC537" i="3"/>
  <c r="AC30" i="3"/>
  <c r="AC138" i="3"/>
  <c r="AC246" i="3"/>
  <c r="AC345" i="3"/>
  <c r="AC430" i="3"/>
  <c r="AC511" i="3"/>
  <c r="AC574" i="3"/>
  <c r="AC521" i="3"/>
  <c r="AC18" i="3"/>
  <c r="AC46" i="3"/>
  <c r="AC154" i="3"/>
  <c r="AC262" i="3"/>
  <c r="AC365" i="3"/>
  <c r="AC450" i="3"/>
  <c r="AC514" i="3"/>
  <c r="AC594" i="3"/>
  <c r="AC55" i="3"/>
  <c r="AC271" i="3"/>
  <c r="AC453" i="3"/>
  <c r="AC58" i="3"/>
  <c r="AC166" i="3"/>
  <c r="AC596" i="3"/>
  <c r="AC598" i="3"/>
  <c r="AC82" i="3"/>
  <c r="AC190" i="3"/>
  <c r="AC298" i="3"/>
  <c r="AC391" i="3"/>
  <c r="AC477" i="3"/>
  <c r="AC538" i="3"/>
  <c r="AC605" i="3"/>
  <c r="AC282" i="3"/>
  <c r="AC427" i="3"/>
  <c r="AC21" i="3"/>
  <c r="AC90" i="3"/>
  <c r="AC131" i="3"/>
  <c r="AC275" i="3"/>
  <c r="AC419" i="3"/>
  <c r="AC563" i="3"/>
  <c r="AC96" i="3"/>
  <c r="AC240" i="3"/>
  <c r="AC384" i="3"/>
  <c r="AC528" i="3"/>
  <c r="AC61" i="3"/>
  <c r="AC205" i="3"/>
  <c r="AC349" i="3"/>
  <c r="AC493" i="3"/>
  <c r="AC26" i="3"/>
  <c r="AC170" i="3"/>
  <c r="AC314" i="3"/>
  <c r="AC458" i="3"/>
  <c r="AC602" i="3"/>
  <c r="AC135" i="3"/>
  <c r="AC279" i="3"/>
  <c r="AC423" i="3"/>
  <c r="AC567" i="3"/>
  <c r="AC88" i="3"/>
  <c r="AC232" i="3"/>
  <c r="AC376" i="3"/>
  <c r="AC520" i="3"/>
  <c r="AC41" i="3"/>
  <c r="AC185" i="3"/>
  <c r="AC8" i="3"/>
  <c r="AC152" i="3"/>
  <c r="AC296" i="3"/>
  <c r="AC440" i="3"/>
  <c r="AC584" i="3"/>
  <c r="AC297" i="3"/>
  <c r="AC559" i="3"/>
  <c r="AC187" i="3"/>
  <c r="AC441" i="3"/>
  <c r="AC42" i="3"/>
  <c r="AC439" i="3"/>
  <c r="AC34" i="3"/>
  <c r="AC438" i="3"/>
  <c r="AC33" i="3"/>
  <c r="AC378" i="3"/>
  <c r="AC371" i="3"/>
  <c r="AC401" i="3"/>
  <c r="AC451" i="3"/>
  <c r="AC54" i="3"/>
  <c r="AC143" i="3"/>
  <c r="AC287" i="3"/>
  <c r="AC431" i="3"/>
  <c r="AC575" i="3"/>
  <c r="AC108" i="3"/>
  <c r="AC252" i="3"/>
  <c r="AC396" i="3"/>
  <c r="AC540" i="3"/>
  <c r="AC73" i="3"/>
  <c r="AC217" i="3"/>
  <c r="AC361" i="3"/>
  <c r="AC505" i="3"/>
  <c r="AC38" i="3"/>
  <c r="AC182" i="3"/>
  <c r="AC326" i="3"/>
  <c r="AC470" i="3"/>
  <c r="AC614" i="3"/>
  <c r="AC147" i="3"/>
  <c r="AC291" i="3"/>
  <c r="AC435" i="3"/>
  <c r="AC579" i="3"/>
  <c r="AC100" i="3"/>
  <c r="AC244" i="3"/>
  <c r="AC388" i="3"/>
  <c r="AC532" i="3"/>
  <c r="AC53" i="3"/>
  <c r="AC197" i="3"/>
  <c r="AC20" i="3"/>
  <c r="AC164" i="3"/>
  <c r="AC308" i="3"/>
  <c r="AC452" i="3"/>
  <c r="AC617" i="3"/>
  <c r="AC261" i="3"/>
  <c r="AC533" i="3"/>
  <c r="AC151" i="3"/>
  <c r="AC414" i="3"/>
  <c r="AC6" i="3"/>
  <c r="AC413" i="3"/>
  <c r="AC406" i="3"/>
  <c r="AC346" i="3"/>
  <c r="AC177" i="3"/>
  <c r="AC134" i="3"/>
  <c r="AC369" i="3"/>
  <c r="AC425" i="3"/>
  <c r="AC11" i="3"/>
  <c r="AC155" i="3"/>
  <c r="AC299" i="3"/>
  <c r="AC443" i="3"/>
  <c r="AC587" i="3"/>
  <c r="AC120" i="3"/>
  <c r="AC264" i="3"/>
  <c r="AC408" i="3"/>
  <c r="AC552" i="3"/>
  <c r="AC85" i="3"/>
  <c r="AC229" i="3"/>
  <c r="AC373" i="3"/>
  <c r="AC517" i="3"/>
  <c r="AC50" i="3"/>
  <c r="AC194" i="3"/>
  <c r="AC338" i="3"/>
  <c r="AC482" i="3"/>
  <c r="AC15" i="3"/>
  <c r="AC159" i="3"/>
  <c r="AC303" i="3"/>
  <c r="AC447" i="3"/>
  <c r="AC591" i="3"/>
  <c r="AC112" i="3"/>
  <c r="AC256" i="3"/>
  <c r="AC400" i="3"/>
  <c r="AC544" i="3"/>
  <c r="AC65" i="3"/>
  <c r="AC209" i="3"/>
  <c r="AC32" i="3"/>
  <c r="AC176" i="3"/>
  <c r="AC320" i="3"/>
  <c r="AC464" i="3"/>
  <c r="AC593" i="3"/>
  <c r="AC225" i="3"/>
  <c r="AC501" i="3"/>
  <c r="AC115" i="3"/>
  <c r="AC382" i="3"/>
  <c r="AC381" i="3"/>
  <c r="AC379" i="3"/>
  <c r="AC319" i="3"/>
  <c r="AC234" i="3"/>
  <c r="AC342" i="3"/>
  <c r="AC393" i="3"/>
  <c r="AC23" i="3"/>
  <c r="AC167" i="3"/>
  <c r="AC311" i="3"/>
  <c r="AC455" i="3"/>
  <c r="AC599" i="3"/>
  <c r="AC132" i="3"/>
  <c r="AC276" i="3"/>
  <c r="AC420" i="3"/>
  <c r="AC564" i="3"/>
  <c r="AC97" i="3"/>
  <c r="AC241" i="3"/>
  <c r="AC385" i="3"/>
  <c r="AC529" i="3"/>
  <c r="AC62" i="3"/>
  <c r="AC206" i="3"/>
  <c r="AC350" i="3"/>
  <c r="AC494" i="3"/>
  <c r="AC27" i="3"/>
  <c r="AC171" i="3"/>
  <c r="AC315" i="3"/>
  <c r="AC459" i="3"/>
  <c r="AC603" i="3"/>
  <c r="AC124" i="3"/>
  <c r="AC268" i="3"/>
  <c r="AC412" i="3"/>
  <c r="AC556" i="3"/>
  <c r="AC77" i="3"/>
  <c r="AC221" i="3"/>
  <c r="AC44" i="3"/>
  <c r="AC188" i="3"/>
  <c r="AC332" i="3"/>
  <c r="AC476" i="3"/>
  <c r="AC561" i="3"/>
  <c r="AC189" i="3"/>
  <c r="AC474" i="3"/>
  <c r="AC79" i="3"/>
  <c r="AC355" i="3"/>
  <c r="AC354" i="3"/>
  <c r="AC353" i="3"/>
  <c r="AC283" i="3"/>
  <c r="AC83" i="3"/>
  <c r="AC309" i="3"/>
  <c r="AC366" i="3"/>
  <c r="AC35" i="3"/>
  <c r="AC179" i="3"/>
  <c r="AC323" i="3"/>
  <c r="AC467" i="3"/>
  <c r="AC611" i="3"/>
  <c r="AC144" i="3"/>
  <c r="AC288" i="3"/>
  <c r="AC432" i="3"/>
  <c r="AC576" i="3"/>
  <c r="AC109" i="3"/>
  <c r="AC253" i="3"/>
  <c r="AC397" i="3"/>
  <c r="AC541" i="3"/>
  <c r="AC74" i="3"/>
  <c r="AC218" i="3"/>
  <c r="AC362" i="3"/>
  <c r="AC506" i="3"/>
  <c r="AC39" i="3"/>
  <c r="AC183" i="3"/>
  <c r="AC327" i="3"/>
  <c r="AC471" i="3"/>
  <c r="AC615" i="3"/>
  <c r="AC136" i="3"/>
  <c r="AC280" i="3"/>
  <c r="AC424" i="3"/>
  <c r="AC568" i="3"/>
  <c r="AC89" i="3"/>
  <c r="AC233" i="3"/>
  <c r="AC56" i="3"/>
  <c r="AC200" i="3"/>
  <c r="AC344" i="3"/>
  <c r="AC488" i="3"/>
  <c r="AC534" i="3"/>
  <c r="AC153" i="3"/>
  <c r="AC442" i="3"/>
  <c r="AC43" i="3"/>
  <c r="AC329" i="3"/>
  <c r="AC322" i="3"/>
  <c r="AC321" i="3"/>
  <c r="AC606" i="3"/>
  <c r="AC247" i="3"/>
  <c r="AC328" i="3"/>
  <c r="AC104" i="3"/>
  <c r="AC536" i="3"/>
  <c r="AC9" i="3"/>
  <c r="AC558" i="3"/>
  <c r="AC557" i="3"/>
  <c r="AC550" i="3"/>
  <c r="AC103" i="3"/>
  <c r="AC204" i="3"/>
  <c r="AC25" i="3"/>
  <c r="AC601" i="3"/>
  <c r="AC566" i="3"/>
  <c r="AC3" i="3"/>
  <c r="AC273" i="3"/>
  <c r="AC334" i="3"/>
  <c r="AC47" i="3"/>
  <c r="AC191" i="3"/>
  <c r="AC335" i="3"/>
  <c r="AC479" i="3"/>
  <c r="AC12" i="3"/>
  <c r="AC156" i="3"/>
  <c r="AC300" i="3"/>
  <c r="AC444" i="3"/>
  <c r="AC588" i="3"/>
  <c r="AC121" i="3"/>
  <c r="AC265" i="3"/>
  <c r="AC409" i="3"/>
  <c r="AC553" i="3"/>
  <c r="AC86" i="3"/>
  <c r="AC230" i="3"/>
  <c r="AC374" i="3"/>
  <c r="AC518" i="3"/>
  <c r="AC51" i="3"/>
  <c r="AC195" i="3"/>
  <c r="AC339" i="3"/>
  <c r="AC483" i="3"/>
  <c r="AC4" i="3"/>
  <c r="AC148" i="3"/>
  <c r="AC292" i="3"/>
  <c r="AC436" i="3"/>
  <c r="AC580" i="3"/>
  <c r="AC101" i="3"/>
  <c r="AC245" i="3"/>
  <c r="AC68" i="3"/>
  <c r="AC212" i="3"/>
  <c r="AC356" i="3"/>
  <c r="AC500" i="3"/>
  <c r="AC502" i="3"/>
  <c r="AC117" i="3"/>
  <c r="AC415" i="3"/>
  <c r="AC7" i="3"/>
  <c r="AC294" i="3"/>
  <c r="AC286" i="3"/>
  <c r="AC285" i="3"/>
  <c r="AC581" i="3"/>
  <c r="AC211" i="3"/>
  <c r="AC48" i="3"/>
  <c r="AC597" i="3"/>
  <c r="AC237" i="3"/>
  <c r="AC306" i="3"/>
  <c r="AC59" i="3"/>
  <c r="AC203" i="3"/>
  <c r="AC347" i="3"/>
  <c r="AC491" i="3"/>
  <c r="AC24" i="3"/>
  <c r="AC168" i="3"/>
  <c r="AC312" i="3"/>
  <c r="AC456" i="3"/>
  <c r="AC600" i="3"/>
  <c r="AC133" i="3"/>
  <c r="AC277" i="3"/>
  <c r="AC421" i="3"/>
  <c r="AC565" i="3"/>
  <c r="AC98" i="3"/>
  <c r="AC242" i="3"/>
  <c r="AC386" i="3"/>
  <c r="AC530" i="3"/>
  <c r="AC63" i="3"/>
  <c r="AC207" i="3"/>
  <c r="AC351" i="3"/>
  <c r="AC495" i="3"/>
  <c r="AC16" i="3"/>
  <c r="AC160" i="3"/>
  <c r="AC304" i="3"/>
  <c r="AC448" i="3"/>
  <c r="AC592" i="3"/>
  <c r="AC113" i="3"/>
  <c r="AC257" i="3"/>
  <c r="AC80" i="3"/>
  <c r="AC224" i="3"/>
  <c r="AC368" i="3"/>
  <c r="AC512" i="3"/>
  <c r="AC475" i="3"/>
  <c r="AC81" i="3"/>
  <c r="AC389" i="3"/>
  <c r="AC609" i="3"/>
  <c r="AC258" i="3"/>
  <c r="AC608" i="3"/>
  <c r="AC250" i="3"/>
  <c r="AC607" i="3"/>
  <c r="AC249" i="3"/>
  <c r="AC549" i="3"/>
  <c r="AC175" i="3"/>
  <c r="AC383" i="3"/>
  <c r="AC492" i="3"/>
  <c r="AC313" i="3"/>
  <c r="AC278" i="3"/>
  <c r="AC99" i="3"/>
  <c r="AC571" i="3"/>
  <c r="AC201" i="3"/>
  <c r="AC270" i="3"/>
  <c r="AC71" i="3"/>
  <c r="AC215" i="3"/>
  <c r="AC359" i="3"/>
  <c r="AC503" i="3"/>
  <c r="AC36" i="3"/>
  <c r="AC180" i="3"/>
  <c r="AC324" i="3"/>
  <c r="AC468" i="3"/>
  <c r="AC612" i="3"/>
  <c r="AC145" i="3"/>
  <c r="AC289" i="3"/>
  <c r="AC433" i="3"/>
  <c r="AC577" i="3"/>
  <c r="AC110" i="3"/>
  <c r="AC254" i="3"/>
  <c r="AC398" i="3"/>
  <c r="AC542" i="3"/>
  <c r="AC75" i="3"/>
  <c r="AC219" i="3"/>
  <c r="AC363" i="3"/>
  <c r="AC507" i="3"/>
  <c r="AC28" i="3"/>
  <c r="AC172" i="3"/>
  <c r="AC316" i="3"/>
  <c r="AC460" i="3"/>
  <c r="AC604" i="3"/>
  <c r="AC125" i="3"/>
  <c r="AC269" i="3"/>
  <c r="AC92" i="3"/>
  <c r="AC236" i="3"/>
  <c r="AC380" i="3"/>
  <c r="AC524" i="3"/>
  <c r="AC449" i="3"/>
  <c r="AC45" i="3"/>
  <c r="AC357" i="3"/>
  <c r="AC585" i="3"/>
  <c r="AC222" i="3"/>
  <c r="AC583" i="3"/>
  <c r="AC214" i="3"/>
  <c r="AC582" i="3"/>
  <c r="AC213" i="3"/>
  <c r="AC522" i="3"/>
  <c r="AC139" i="3"/>
  <c r="AC545" i="3"/>
  <c r="AC165" i="3"/>
  <c r="AC227" i="3"/>
  <c r="AC515" i="3"/>
  <c r="AC192" i="3"/>
  <c r="AC336" i="3"/>
  <c r="AC480" i="3"/>
  <c r="AC13" i="3"/>
  <c r="AC157" i="3"/>
  <c r="AC301" i="3"/>
  <c r="AC445" i="3"/>
  <c r="AC589" i="3"/>
  <c r="AC122" i="3"/>
  <c r="AC266" i="3"/>
  <c r="AC410" i="3"/>
  <c r="AC554" i="3"/>
  <c r="AC87" i="3"/>
  <c r="AC231" i="3"/>
  <c r="AC375" i="3"/>
  <c r="AC519" i="3"/>
  <c r="AC40" i="3"/>
  <c r="AC472" i="3"/>
  <c r="AC616" i="3"/>
  <c r="AC137" i="3"/>
  <c r="AC281" i="3"/>
  <c r="AC248" i="3"/>
  <c r="AC392" i="3"/>
  <c r="AC417" i="3"/>
  <c r="AC330" i="3"/>
  <c r="AC186" i="3"/>
  <c r="AC178" i="3"/>
  <c r="AC490" i="3"/>
  <c r="AC239" i="3"/>
  <c r="AC527" i="3"/>
  <c r="AC60" i="3"/>
  <c r="AC348" i="3"/>
  <c r="AC169" i="3"/>
  <c r="AC457" i="3"/>
  <c r="AC422" i="3"/>
  <c r="AC454" i="3"/>
  <c r="AC57" i="3"/>
  <c r="AC126" i="3"/>
  <c r="AC119" i="3"/>
  <c r="AC263" i="3"/>
  <c r="AC407" i="3"/>
  <c r="AC551" i="3"/>
  <c r="AC84" i="3"/>
  <c r="AC228" i="3"/>
  <c r="AC372" i="3"/>
  <c r="AC516" i="3"/>
  <c r="AC49" i="3"/>
  <c r="AC193" i="3"/>
  <c r="AC337" i="3"/>
  <c r="AC481" i="3"/>
  <c r="AC14" i="3"/>
  <c r="AC158" i="3"/>
  <c r="AC302" i="3"/>
  <c r="AC446" i="3"/>
  <c r="AC590" i="3"/>
  <c r="AC123" i="3"/>
  <c r="AC267" i="3"/>
  <c r="AC411" i="3"/>
  <c r="AC555" i="3"/>
  <c r="AC76" i="3"/>
  <c r="AC220" i="3"/>
  <c r="AC364" i="3"/>
  <c r="AC508" i="3"/>
  <c r="AC29" i="3"/>
  <c r="AC173" i="3"/>
  <c r="AC317" i="3"/>
  <c r="AC140" i="3"/>
  <c r="AC284" i="3"/>
  <c r="AC428" i="3"/>
  <c r="AC572" i="3"/>
  <c r="AC331" i="3"/>
  <c r="AC586" i="3"/>
  <c r="AC223" i="3"/>
  <c r="AC473" i="3"/>
  <c r="AC78" i="3"/>
  <c r="AC466" i="3"/>
  <c r="AC70" i="3"/>
  <c r="AC465" i="3"/>
  <c r="AC69" i="3"/>
  <c r="AC405" i="3"/>
  <c r="AC184" i="3"/>
  <c r="AC107" i="3"/>
  <c r="AC613" i="3"/>
  <c r="AC52" i="3"/>
  <c r="AC293" i="3"/>
  <c r="AC10" i="3"/>
  <c r="AC525" i="3"/>
  <c r="AC105" i="3"/>
  <c r="AC93" i="3"/>
  <c r="AC469" i="3"/>
  <c r="AC251" i="3"/>
  <c r="AC146" i="3"/>
  <c r="AC64" i="3"/>
  <c r="AC305" i="3"/>
  <c r="AC610" i="3"/>
  <c r="AC498" i="3"/>
  <c r="AC37" i="3"/>
  <c r="AC387" i="3"/>
  <c r="AC548" i="3"/>
  <c r="AC395" i="3"/>
  <c r="AC290" i="3"/>
  <c r="AC196" i="3"/>
  <c r="AC116" i="3"/>
  <c r="AC295" i="3"/>
  <c r="AC142" i="3"/>
  <c r="AC161" i="3"/>
  <c r="AC141" i="3"/>
  <c r="AC539" i="3"/>
  <c r="AC434" i="3"/>
  <c r="AC208" i="3"/>
  <c r="AC128" i="3"/>
  <c r="AC259" i="3"/>
  <c r="AC106" i="3"/>
  <c r="AC72" i="3"/>
  <c r="AC578" i="3"/>
  <c r="AC340" i="3"/>
  <c r="AC260" i="3"/>
  <c r="AC526" i="3"/>
  <c r="AC463" i="3"/>
  <c r="AC5" i="3"/>
  <c r="AC543" i="3"/>
  <c r="AC358" i="3"/>
  <c r="AC513" i="3"/>
  <c r="AC216" i="3"/>
  <c r="AC111" i="3"/>
  <c r="AC352" i="3"/>
  <c r="AC272" i="3"/>
  <c r="AC499" i="3"/>
  <c r="AC437" i="3"/>
  <c r="AC486" i="3"/>
  <c r="AC360" i="3"/>
  <c r="AC243" i="3"/>
  <c r="AC484" i="3"/>
  <c r="AC404" i="3"/>
  <c r="AC150" i="3"/>
  <c r="AC67" i="3"/>
  <c r="AC95" i="3"/>
  <c r="AC129" i="3"/>
  <c r="AC504" i="3"/>
  <c r="AC255" i="3"/>
  <c r="AC496" i="3"/>
  <c r="AC416" i="3"/>
  <c r="AC114" i="3"/>
  <c r="AC31" i="3"/>
  <c r="AC198" i="3"/>
  <c r="AC181" i="3"/>
  <c r="AC399" i="3"/>
  <c r="AC17" i="3"/>
  <c r="AC560" i="3"/>
  <c r="AC523" i="3"/>
  <c r="AC162" i="3"/>
  <c r="AC325" i="3"/>
  <c r="AC531" i="3"/>
  <c r="AC149" i="3"/>
  <c r="AC390" i="3"/>
  <c r="AC497" i="3"/>
  <c r="B78" i="2"/>
  <c r="AC624" i="3"/>
  <c r="AC622" i="3"/>
  <c r="AC623" i="3"/>
  <c r="U109" i="3"/>
  <c r="T147" i="3" l="1"/>
  <c r="D104" i="2"/>
  <c r="F126" i="2" s="1"/>
  <c r="D79" i="2"/>
  <c r="D97" i="2" s="1"/>
  <c r="D78" i="2"/>
  <c r="T144" i="3" s="1"/>
  <c r="T143" i="3"/>
  <c r="D92" i="2"/>
  <c r="F114" i="2" s="1"/>
  <c r="D91" i="2"/>
  <c r="T146" i="3"/>
  <c r="D101" i="2"/>
  <c r="F123" i="2" s="1"/>
  <c r="D100" i="2"/>
  <c r="T145" i="3"/>
  <c r="D98" i="2"/>
  <c r="F120" i="2" s="1"/>
  <c r="D95" i="2"/>
  <c r="F117" i="2" s="1"/>
  <c r="D103" i="2"/>
  <c r="O46" i="6"/>
  <c r="P46" i="6" s="1"/>
  <c r="O45" i="6"/>
  <c r="P45" i="6" s="1"/>
  <c r="P58" i="6"/>
  <c r="O58" i="6"/>
  <c r="I32" i="6"/>
  <c r="J32" i="6" s="1"/>
  <c r="D48" i="2"/>
  <c r="B33" i="2"/>
  <c r="C26" i="6"/>
  <c r="B25" i="6"/>
  <c r="C25" i="6" s="1"/>
  <c r="D25" i="6" s="1"/>
  <c r="B24" i="6"/>
  <c r="C24" i="6" s="1"/>
  <c r="D24" i="6" s="1"/>
  <c r="B23" i="6"/>
  <c r="C23" i="6" s="1"/>
  <c r="C39" i="6" s="1"/>
  <c r="H42" i="6"/>
  <c r="H41" i="6"/>
  <c r="I41" i="6" s="1"/>
  <c r="J41" i="6" s="1"/>
  <c r="H40" i="6"/>
  <c r="I40" i="6" s="1"/>
  <c r="J40" i="6" s="1"/>
  <c r="H39" i="6"/>
  <c r="I39" i="6" s="1"/>
  <c r="J39" i="6" s="1"/>
  <c r="H38" i="6"/>
  <c r="I38" i="6" s="1"/>
  <c r="J38" i="6" s="1"/>
  <c r="H37" i="6"/>
  <c r="I37" i="6" s="1"/>
  <c r="J37" i="6" s="1"/>
  <c r="H36" i="6"/>
  <c r="I36" i="6" s="1"/>
  <c r="J36" i="6" s="1"/>
  <c r="H30" i="6"/>
  <c r="I30" i="6" s="1"/>
  <c r="J30" i="6" s="1"/>
  <c r="H29" i="6"/>
  <c r="I29" i="6" s="1"/>
  <c r="J29" i="6" s="1"/>
  <c r="H28" i="6"/>
  <c r="I28" i="6" s="1"/>
  <c r="J28" i="6" s="1"/>
  <c r="H27" i="6"/>
  <c r="I27" i="6" s="1"/>
  <c r="J27" i="6" s="1"/>
  <c r="H26" i="6"/>
  <c r="I26" i="6" s="1"/>
  <c r="J26" i="6" s="1"/>
  <c r="H25" i="6"/>
  <c r="I25" i="6" s="1"/>
  <c r="J25" i="6" s="1"/>
  <c r="H24" i="6"/>
  <c r="I24" i="6" s="1"/>
  <c r="J24" i="6" s="1"/>
  <c r="H23" i="6"/>
  <c r="I23" i="6" s="1"/>
  <c r="T76" i="6"/>
  <c r="T75" i="6"/>
  <c r="U75" i="6" s="1"/>
  <c r="V75" i="6" s="1"/>
  <c r="T74" i="6"/>
  <c r="U74" i="6" s="1"/>
  <c r="V74" i="6" s="1"/>
  <c r="T73" i="6"/>
  <c r="U73" i="6" s="1"/>
  <c r="V73" i="6" s="1"/>
  <c r="T72" i="6"/>
  <c r="U72" i="6" s="1"/>
  <c r="V72" i="6" s="1"/>
  <c r="T71" i="6"/>
  <c r="U71" i="6" s="1"/>
  <c r="V71" i="6" s="1"/>
  <c r="T70" i="6"/>
  <c r="U70" i="6" s="1"/>
  <c r="V70" i="6" s="1"/>
  <c r="T69" i="6"/>
  <c r="U69" i="6" s="1"/>
  <c r="V69" i="6" s="1"/>
  <c r="T68" i="6"/>
  <c r="U68" i="6" s="1"/>
  <c r="V68" i="6" s="1"/>
  <c r="T67" i="6"/>
  <c r="U67" i="6" s="1"/>
  <c r="V67" i="6" s="1"/>
  <c r="T66" i="6"/>
  <c r="U66" i="6" s="1"/>
  <c r="V66" i="6" s="1"/>
  <c r="T65" i="6"/>
  <c r="U65" i="6" s="1"/>
  <c r="V65" i="6" s="1"/>
  <c r="T64" i="6"/>
  <c r="U64" i="6" s="1"/>
  <c r="V64" i="6" s="1"/>
  <c r="T63" i="6"/>
  <c r="U63" i="6" s="1"/>
  <c r="V63" i="6" s="1"/>
  <c r="T62" i="6"/>
  <c r="U62" i="6" s="1"/>
  <c r="V62" i="6" s="1"/>
  <c r="T61" i="6"/>
  <c r="U61" i="6" s="1"/>
  <c r="V61" i="6" s="1"/>
  <c r="T60" i="6"/>
  <c r="U60" i="6" s="1"/>
  <c r="V60" i="6" s="1"/>
  <c r="T59" i="6"/>
  <c r="U59" i="6" s="1"/>
  <c r="V59" i="6" s="1"/>
  <c r="T58" i="6"/>
  <c r="U58" i="6" s="1"/>
  <c r="V58" i="6" s="1"/>
  <c r="T57" i="6"/>
  <c r="U57" i="6" s="1"/>
  <c r="V57" i="6" s="1"/>
  <c r="T56" i="6"/>
  <c r="U56" i="6" s="1"/>
  <c r="V56" i="6" s="1"/>
  <c r="T55" i="6"/>
  <c r="U55" i="6" s="1"/>
  <c r="V55" i="6" s="1"/>
  <c r="T54" i="6"/>
  <c r="U54" i="6" s="1"/>
  <c r="V54" i="6" s="1"/>
  <c r="T53" i="6"/>
  <c r="U53" i="6" s="1"/>
  <c r="V53" i="6" s="1"/>
  <c r="T52" i="6"/>
  <c r="U52" i="6" s="1"/>
  <c r="V52" i="6" s="1"/>
  <c r="T51" i="6"/>
  <c r="U51" i="6" s="1"/>
  <c r="V51" i="6" s="1"/>
  <c r="T50" i="6"/>
  <c r="U50" i="6" s="1"/>
  <c r="V50" i="6" s="1"/>
  <c r="T49" i="6"/>
  <c r="U49" i="6" s="1"/>
  <c r="V49" i="6" s="1"/>
  <c r="T48" i="6"/>
  <c r="U48" i="6" s="1"/>
  <c r="V48" i="6" s="1"/>
  <c r="T47" i="6"/>
  <c r="U47" i="6" s="1"/>
  <c r="V47" i="6" s="1"/>
  <c r="T46" i="6"/>
  <c r="U46" i="6" s="1"/>
  <c r="V46" i="6" s="1"/>
  <c r="T45" i="6"/>
  <c r="U45" i="6" s="1"/>
  <c r="V45" i="6" s="1"/>
  <c r="T44" i="6"/>
  <c r="U44" i="6" s="1"/>
  <c r="V44" i="6" s="1"/>
  <c r="T43" i="6"/>
  <c r="U43" i="6" s="1"/>
  <c r="V43" i="6" s="1"/>
  <c r="T42" i="6"/>
  <c r="U42" i="6" s="1"/>
  <c r="V42" i="6" s="1"/>
  <c r="T41" i="6"/>
  <c r="U41" i="6" s="1"/>
  <c r="V41" i="6" s="1"/>
  <c r="T40" i="6"/>
  <c r="U40" i="6" s="1"/>
  <c r="V40" i="6" s="1"/>
  <c r="T39" i="6"/>
  <c r="U39" i="6" s="1"/>
  <c r="V39" i="6" s="1"/>
  <c r="T38" i="6"/>
  <c r="U38" i="6" s="1"/>
  <c r="V38" i="6" s="1"/>
  <c r="T37" i="6"/>
  <c r="U37" i="6" s="1"/>
  <c r="V37" i="6" s="1"/>
  <c r="T36" i="6"/>
  <c r="U36" i="6" s="1"/>
  <c r="V36" i="6" s="1"/>
  <c r="T30" i="6"/>
  <c r="U30" i="6" s="1"/>
  <c r="V30" i="6" s="1"/>
  <c r="T29" i="6"/>
  <c r="U29" i="6" s="1"/>
  <c r="V29" i="6" s="1"/>
  <c r="T28" i="6"/>
  <c r="U28" i="6" s="1"/>
  <c r="V28" i="6" s="1"/>
  <c r="T27" i="6"/>
  <c r="U27" i="6" s="1"/>
  <c r="V27" i="6" s="1"/>
  <c r="T26" i="6"/>
  <c r="U26" i="6" s="1"/>
  <c r="V26" i="6" s="1"/>
  <c r="T25" i="6"/>
  <c r="U25" i="6" s="1"/>
  <c r="V25" i="6" s="1"/>
  <c r="T24" i="6"/>
  <c r="U24" i="6" s="1"/>
  <c r="V24" i="6" s="1"/>
  <c r="U23" i="6"/>
  <c r="D94" i="2" l="1"/>
  <c r="F116" i="2"/>
  <c r="E94" i="2"/>
  <c r="F122" i="2"/>
  <c r="E100" i="2"/>
  <c r="F119" i="2"/>
  <c r="E97" i="2"/>
  <c r="E91" i="2"/>
  <c r="F113" i="2"/>
  <c r="F125" i="2"/>
  <c r="E103" i="2"/>
  <c r="P59" i="6"/>
  <c r="P60" i="6" s="1"/>
  <c r="D26" i="6"/>
  <c r="I42" i="6"/>
  <c r="C48" i="2"/>
  <c r="C66" i="2"/>
  <c r="T108" i="3"/>
  <c r="C89" i="2"/>
  <c r="V23" i="6"/>
  <c r="T77" i="6"/>
  <c r="U77" i="6" s="1"/>
  <c r="V77" i="6" s="1"/>
  <c r="U76" i="6"/>
  <c r="J23" i="6"/>
  <c r="D23" i="6"/>
  <c r="D39" i="6" s="1"/>
  <c r="D40" i="6" s="1"/>
  <c r="D41" i="6" s="1"/>
  <c r="D43" i="6" l="1"/>
  <c r="I43" i="6"/>
  <c r="J44" i="6" s="1"/>
  <c r="J45" i="6" s="1"/>
  <c r="J42" i="6"/>
  <c r="J43" i="6" s="1"/>
  <c r="C76" i="2"/>
  <c r="B66" i="2"/>
  <c r="S108" i="3"/>
  <c r="C88" i="2"/>
  <c r="E48" i="2"/>
  <c r="V76" i="6"/>
  <c r="V78" i="6" s="1"/>
  <c r="V79" i="6" s="1"/>
  <c r="V80" i="6" s="1"/>
  <c r="U78" i="6"/>
  <c r="D49" i="6" l="1"/>
  <c r="D50" i="6"/>
  <c r="D48" i="6"/>
  <c r="C48" i="6" s="1"/>
  <c r="AB95" i="3"/>
  <c r="AB28" i="3"/>
  <c r="AB160" i="3"/>
  <c r="AB192" i="3"/>
  <c r="AB219" i="3"/>
  <c r="AB304" i="3"/>
  <c r="AB336" i="3"/>
  <c r="AB363" i="3"/>
  <c r="AB395" i="3"/>
  <c r="AB421" i="3"/>
  <c r="AB507" i="3"/>
  <c r="AB539" i="3"/>
  <c r="AB565" i="3"/>
  <c r="AB35" i="3"/>
  <c r="AB96" i="3"/>
  <c r="AB135" i="3"/>
  <c r="AB167" i="3"/>
  <c r="AB193" i="3"/>
  <c r="AB279" i="3"/>
  <c r="AB311" i="3"/>
  <c r="AB337" i="3"/>
  <c r="AB423" i="3"/>
  <c r="AB455" i="3"/>
  <c r="AB481" i="3"/>
  <c r="AB508" i="3"/>
  <c r="AB540" i="3"/>
  <c r="AB132" i="3"/>
  <c r="AB303" i="3"/>
  <c r="AB479" i="3"/>
  <c r="AB97" i="3"/>
  <c r="AB136" i="3"/>
  <c r="AB168" i="3"/>
  <c r="AB195" i="3"/>
  <c r="AB227" i="3"/>
  <c r="AB253" i="3"/>
  <c r="AB339" i="3"/>
  <c r="AB371" i="3"/>
  <c r="AB397" i="3"/>
  <c r="AB456" i="3"/>
  <c r="AB483" i="3"/>
  <c r="AB515" i="3"/>
  <c r="AB541" i="3"/>
  <c r="AB568" i="3"/>
  <c r="AB600" i="3"/>
  <c r="AB99" i="3"/>
  <c r="AB143" i="3"/>
  <c r="AB169" i="3"/>
  <c r="AB228" i="3"/>
  <c r="AB255" i="3"/>
  <c r="AB287" i="3"/>
  <c r="AB313" i="3"/>
  <c r="AB340" i="3"/>
  <c r="AB372" i="3"/>
  <c r="AB457" i="3"/>
  <c r="AB484" i="3"/>
  <c r="AB516" i="3"/>
  <c r="AB575" i="3"/>
  <c r="AB601" i="3"/>
  <c r="AB50" i="3"/>
  <c r="AB100" i="3"/>
  <c r="AB144" i="3"/>
  <c r="AB171" i="3"/>
  <c r="AB256" i="3"/>
  <c r="AB288" i="3"/>
  <c r="AB315" i="3"/>
  <c r="AB373" i="3"/>
  <c r="AB400" i="3"/>
  <c r="AB432" i="3"/>
  <c r="AB459" i="3"/>
  <c r="AB491" i="3"/>
  <c r="AB517" i="3"/>
  <c r="AB603" i="3"/>
  <c r="AB612" i="3"/>
  <c r="AB26" i="3"/>
  <c r="AB388" i="3"/>
  <c r="AB564" i="3"/>
  <c r="AB52" i="3"/>
  <c r="AB112" i="3"/>
  <c r="AB145" i="3"/>
  <c r="AB172" i="3"/>
  <c r="AB263" i="3"/>
  <c r="AB289" i="3"/>
  <c r="AB316" i="3"/>
  <c r="AB375" i="3"/>
  <c r="AB407" i="3"/>
  <c r="AB433" i="3"/>
  <c r="AB460" i="3"/>
  <c r="AB492" i="3"/>
  <c r="AB519" i="3"/>
  <c r="AB604" i="3"/>
  <c r="AB276" i="3"/>
  <c r="AB532" i="3"/>
  <c r="AB116" i="3"/>
  <c r="AB147" i="3"/>
  <c r="AB179" i="3"/>
  <c r="AB205" i="3"/>
  <c r="AB232" i="3"/>
  <c r="AB264" i="3"/>
  <c r="AB349" i="3"/>
  <c r="AB376" i="3"/>
  <c r="AB408" i="3"/>
  <c r="AB467" i="3"/>
  <c r="AB493" i="3"/>
  <c r="AB520" i="3"/>
  <c r="AB552" i="3"/>
  <c r="AB579" i="3"/>
  <c r="AB611" i="3"/>
  <c r="AB4" i="3"/>
  <c r="AB72" i="3"/>
  <c r="AB119" i="3"/>
  <c r="AB180" i="3"/>
  <c r="AB207" i="3"/>
  <c r="AB239" i="3"/>
  <c r="AB265" i="3"/>
  <c r="AB292" i="3"/>
  <c r="AB324" i="3"/>
  <c r="AB409" i="3"/>
  <c r="AB436" i="3"/>
  <c r="AB468" i="3"/>
  <c r="AB527" i="3"/>
  <c r="AB553" i="3"/>
  <c r="AB580" i="3"/>
  <c r="AB11" i="3"/>
  <c r="AB73" i="3"/>
  <c r="AB121" i="3"/>
  <c r="AB208" i="3"/>
  <c r="AB240" i="3"/>
  <c r="AB267" i="3"/>
  <c r="AB325" i="3"/>
  <c r="AB352" i="3"/>
  <c r="AB384" i="3"/>
  <c r="AB411" i="3"/>
  <c r="AB443" i="3"/>
  <c r="AB469" i="3"/>
  <c r="AB555" i="3"/>
  <c r="AB587" i="3"/>
  <c r="AB613" i="3"/>
  <c r="AB24" i="3"/>
  <c r="AB74" i="3"/>
  <c r="AB122" i="3"/>
  <c r="AB156" i="3"/>
  <c r="AB183" i="3"/>
  <c r="AB215" i="3"/>
  <c r="AB300" i="3"/>
  <c r="AB327" i="3"/>
  <c r="AB359" i="3"/>
  <c r="AB412" i="3"/>
  <c r="AB444" i="3"/>
  <c r="AB471" i="3"/>
  <c r="AB503" i="3"/>
  <c r="AB529" i="3"/>
  <c r="AB556" i="3"/>
  <c r="AB419" i="3"/>
  <c r="AB191" i="3"/>
  <c r="AB420" i="3"/>
  <c r="AB27" i="3"/>
  <c r="AB25" i="3"/>
  <c r="AB76" i="3"/>
  <c r="AB131" i="3"/>
  <c r="AB157" i="3"/>
  <c r="AB184" i="3"/>
  <c r="AB275" i="3"/>
  <c r="AB301" i="3"/>
  <c r="AB328" i="3"/>
  <c r="AB387" i="3"/>
  <c r="AB472" i="3"/>
  <c r="AB504" i="3"/>
  <c r="AB531" i="3"/>
  <c r="AB563" i="3"/>
  <c r="AB589" i="3"/>
  <c r="AB244" i="3"/>
  <c r="AB447" i="3"/>
  <c r="AB530" i="3"/>
  <c r="AB242" i="3"/>
  <c r="AB75" i="3"/>
  <c r="AB17" i="3"/>
  <c r="AB42" i="3"/>
  <c r="AB67" i="3"/>
  <c r="AB80" i="3"/>
  <c r="AB430" i="3"/>
  <c r="AB286" i="3"/>
  <c r="AB142" i="3"/>
  <c r="AB381" i="3"/>
  <c r="AB237" i="3"/>
  <c r="AB64" i="3"/>
  <c r="AB596" i="3"/>
  <c r="AB452" i="3"/>
  <c r="AB308" i="3"/>
  <c r="AB451" i="3"/>
  <c r="AB307" i="3"/>
  <c r="AB163" i="3"/>
  <c r="AB438" i="3"/>
  <c r="AB294" i="3"/>
  <c r="AB150" i="3"/>
  <c r="AB545" i="3"/>
  <c r="AB401" i="3"/>
  <c r="AB257" i="3"/>
  <c r="AB254" i="3"/>
  <c r="AB518" i="3"/>
  <c r="AB374" i="3"/>
  <c r="AB51" i="3"/>
  <c r="AB29" i="3"/>
  <c r="AB54" i="3"/>
  <c r="AB79" i="3"/>
  <c r="AB9" i="3"/>
  <c r="AB22" i="3"/>
  <c r="AB274" i="3"/>
  <c r="AB130" i="3"/>
  <c r="AB513" i="3"/>
  <c r="AB225" i="3"/>
  <c r="AB40" i="3"/>
  <c r="AB584" i="3"/>
  <c r="AB440" i="3"/>
  <c r="AB296" i="3"/>
  <c r="AB152" i="3"/>
  <c r="AB295" i="3"/>
  <c r="AB151" i="3"/>
  <c r="AB570" i="3"/>
  <c r="AB282" i="3"/>
  <c r="AB138" i="3"/>
  <c r="AB533" i="3"/>
  <c r="AB389" i="3"/>
  <c r="AB245" i="3"/>
  <c r="AB84" i="3"/>
  <c r="AB506" i="3"/>
  <c r="AB362" i="3"/>
  <c r="AB218" i="3"/>
  <c r="AB66" i="3"/>
  <c r="AB91" i="3"/>
  <c r="AB21" i="3"/>
  <c r="AB34" i="3"/>
  <c r="AB550" i="3"/>
  <c r="AB406" i="3"/>
  <c r="AB501" i="3"/>
  <c r="AB357" i="3"/>
  <c r="AB213" i="3"/>
  <c r="AB572" i="3"/>
  <c r="AB428" i="3"/>
  <c r="AB284" i="3"/>
  <c r="AB140" i="3"/>
  <c r="AB571" i="3"/>
  <c r="AB427" i="3"/>
  <c r="AB558" i="3"/>
  <c r="AB414" i="3"/>
  <c r="AB270" i="3"/>
  <c r="AB521" i="3"/>
  <c r="AB377" i="3"/>
  <c r="AB233" i="3"/>
  <c r="AB60" i="3"/>
  <c r="AB542" i="3"/>
  <c r="AB320" i="3"/>
  <c r="AB206" i="3"/>
  <c r="AB53" i="3"/>
  <c r="AB78" i="3"/>
  <c r="AB33" i="3"/>
  <c r="AB46" i="3"/>
  <c r="AB538" i="3"/>
  <c r="AB394" i="3"/>
  <c r="AB250" i="3"/>
  <c r="AB92" i="3"/>
  <c r="AB201" i="3"/>
  <c r="AB560" i="3"/>
  <c r="AB416" i="3"/>
  <c r="AB126" i="3"/>
  <c r="AB559" i="3"/>
  <c r="AB415" i="3"/>
  <c r="AB271" i="3"/>
  <c r="AB125" i="3"/>
  <c r="AB546" i="3"/>
  <c r="AB107" i="3"/>
  <c r="AB509" i="3"/>
  <c r="AB365" i="3"/>
  <c r="AB36" i="3"/>
  <c r="AB15" i="3"/>
  <c r="AB305" i="3"/>
  <c r="AB117" i="3"/>
  <c r="AB281" i="3"/>
  <c r="AB5" i="3"/>
  <c r="AB586" i="3"/>
  <c r="AB537" i="3"/>
  <c r="AB393" i="3"/>
  <c r="AB464" i="3"/>
  <c r="AB607" i="3"/>
  <c r="AB594" i="3"/>
  <c r="AB306" i="3"/>
  <c r="AB162" i="3"/>
  <c r="AB413" i="3"/>
  <c r="AB338" i="3"/>
  <c r="AB194" i="3"/>
  <c r="AB65" i="3"/>
  <c r="AB115" i="3"/>
  <c r="AB45" i="3"/>
  <c r="AB58" i="3"/>
  <c r="AB526" i="3"/>
  <c r="AB382" i="3"/>
  <c r="AB238" i="3"/>
  <c r="AB477" i="3"/>
  <c r="AB333" i="3"/>
  <c r="AB189" i="3"/>
  <c r="AB404" i="3"/>
  <c r="AB260" i="3"/>
  <c r="AB109" i="3"/>
  <c r="AB547" i="3"/>
  <c r="AB403" i="3"/>
  <c r="AB259" i="3"/>
  <c r="AB390" i="3"/>
  <c r="AB246" i="3"/>
  <c r="AB85" i="3"/>
  <c r="AB353" i="3"/>
  <c r="AB209" i="3"/>
  <c r="AB12" i="3"/>
  <c r="AB442" i="3"/>
  <c r="AB463" i="3"/>
  <c r="AB614" i="3"/>
  <c r="AB182" i="3"/>
  <c r="AB77" i="3"/>
  <c r="AB102" i="3"/>
  <c r="AB57" i="3"/>
  <c r="AB70" i="3"/>
  <c r="AB514" i="3"/>
  <c r="AB370" i="3"/>
  <c r="AB226" i="3"/>
  <c r="AB47" i="3"/>
  <c r="AB321" i="3"/>
  <c r="AB177" i="3"/>
  <c r="AB536" i="3"/>
  <c r="AB248" i="3"/>
  <c r="AB87" i="3"/>
  <c r="AB535" i="3"/>
  <c r="AB391" i="3"/>
  <c r="AB247" i="3"/>
  <c r="AB86" i="3"/>
  <c r="AB234" i="3"/>
  <c r="AB61" i="3"/>
  <c r="AB485" i="3"/>
  <c r="AB197" i="3"/>
  <c r="AB593" i="3"/>
  <c r="AB298" i="3"/>
  <c r="AB319" i="3"/>
  <c r="AB602" i="3"/>
  <c r="AB458" i="3"/>
  <c r="AB89" i="3"/>
  <c r="AB114" i="3"/>
  <c r="AB8" i="3"/>
  <c r="AB82" i="3"/>
  <c r="AB502" i="3"/>
  <c r="AB358" i="3"/>
  <c r="AB214" i="3"/>
  <c r="AB23" i="3"/>
  <c r="AB597" i="3"/>
  <c r="AB165" i="3"/>
  <c r="AB524" i="3"/>
  <c r="AB380" i="3"/>
  <c r="AB63" i="3"/>
  <c r="AB523" i="3"/>
  <c r="AB379" i="3"/>
  <c r="AB235" i="3"/>
  <c r="AB62" i="3"/>
  <c r="AB510" i="3"/>
  <c r="AB37" i="3"/>
  <c r="AB617" i="3"/>
  <c r="AB473" i="3"/>
  <c r="AB185" i="3"/>
  <c r="AB356" i="3"/>
  <c r="AB161" i="3"/>
  <c r="AB110" i="3"/>
  <c r="AB98" i="3"/>
  <c r="AB450" i="3"/>
  <c r="AB302" i="3"/>
  <c r="AB158" i="3"/>
  <c r="AB101" i="3"/>
  <c r="AB20" i="3"/>
  <c r="AB81" i="3"/>
  <c r="AB94" i="3"/>
  <c r="AB490" i="3"/>
  <c r="AB346" i="3"/>
  <c r="AB202" i="3"/>
  <c r="AB297" i="3"/>
  <c r="AB153" i="3"/>
  <c r="AB512" i="3"/>
  <c r="AB224" i="3"/>
  <c r="AB39" i="3"/>
  <c r="AB511" i="3"/>
  <c r="AB367" i="3"/>
  <c r="AB223" i="3"/>
  <c r="AB38" i="3"/>
  <c r="AB210" i="3"/>
  <c r="AB13" i="3"/>
  <c r="AB605" i="3"/>
  <c r="AB317" i="3"/>
  <c r="AB173" i="3"/>
  <c r="AB141" i="3"/>
  <c r="AB198" i="3"/>
  <c r="AB88" i="3"/>
  <c r="AB557" i="3"/>
  <c r="AB290" i="3"/>
  <c r="AB146" i="3"/>
  <c r="AB113" i="3"/>
  <c r="AB32" i="3"/>
  <c r="AB93" i="3"/>
  <c r="AB106" i="3"/>
  <c r="AB478" i="3"/>
  <c r="AB334" i="3"/>
  <c r="AB190" i="3"/>
  <c r="AB285" i="3"/>
  <c r="AB500" i="3"/>
  <c r="AB212" i="3"/>
  <c r="AB355" i="3"/>
  <c r="AB211" i="3"/>
  <c r="AB14" i="3"/>
  <c r="AB486" i="3"/>
  <c r="AB342" i="3"/>
  <c r="AB449" i="3"/>
  <c r="AB422" i="3"/>
  <c r="AB278" i="3"/>
  <c r="AB134" i="3"/>
  <c r="AB31" i="3"/>
  <c r="AB44" i="3"/>
  <c r="AB105" i="3"/>
  <c r="AB118" i="3"/>
  <c r="AB610" i="3"/>
  <c r="AB466" i="3"/>
  <c r="AB561" i="3"/>
  <c r="AB417" i="3"/>
  <c r="AB273" i="3"/>
  <c r="AB488" i="3"/>
  <c r="AB344" i="3"/>
  <c r="AB200" i="3"/>
  <c r="AB620" i="3"/>
  <c r="AB487" i="3"/>
  <c r="AB343" i="3"/>
  <c r="AB474" i="3"/>
  <c r="AB330" i="3"/>
  <c r="AB186" i="3"/>
  <c r="AB437" i="3"/>
  <c r="AB293" i="3"/>
  <c r="AB149" i="3"/>
  <c r="AB554" i="3"/>
  <c r="AB410" i="3"/>
  <c r="AB266" i="3"/>
  <c r="AB43" i="3"/>
  <c r="AB56" i="3"/>
  <c r="AB598" i="3"/>
  <c r="AB549" i="3"/>
  <c r="AB405" i="3"/>
  <c r="AB261" i="3"/>
  <c r="AB476" i="3"/>
  <c r="AB332" i="3"/>
  <c r="AB188" i="3"/>
  <c r="AB331" i="3"/>
  <c r="AB187" i="3"/>
  <c r="AB606" i="3"/>
  <c r="AB318" i="3"/>
  <c r="AB174" i="3"/>
  <c r="AB569" i="3"/>
  <c r="AB425" i="3"/>
  <c r="AB137" i="3"/>
  <c r="AB30" i="3"/>
  <c r="AB176" i="3"/>
  <c r="AB175" i="3"/>
  <c r="AB269" i="3"/>
  <c r="AB396" i="3"/>
  <c r="AB361" i="3"/>
  <c r="AB277" i="3"/>
  <c r="AB462" i="3"/>
  <c r="AB454" i="3"/>
  <c r="AB581" i="3"/>
  <c r="AB128" i="3"/>
  <c r="AB6" i="3"/>
  <c r="AB499" i="3"/>
  <c r="AB19" i="3"/>
  <c r="AB461" i="3"/>
  <c r="AB368" i="3"/>
  <c r="AB7" i="3"/>
  <c r="AB329" i="3"/>
  <c r="AB236" i="3"/>
  <c r="AB69" i="3"/>
  <c r="AB341" i="3"/>
  <c r="AB392" i="3"/>
  <c r="AB127" i="3"/>
  <c r="AB497" i="3"/>
  <c r="AB548" i="3"/>
  <c r="AB90" i="3"/>
  <c r="AB608" i="3"/>
  <c r="AB221" i="3"/>
  <c r="AB272" i="3"/>
  <c r="AB103" i="3"/>
  <c r="AB124" i="3"/>
  <c r="AB16" i="3"/>
  <c r="AB41" i="3"/>
  <c r="AB426" i="3"/>
  <c r="AB369" i="3"/>
  <c r="AB230" i="3"/>
  <c r="AB582" i="3"/>
  <c r="AB525" i="3"/>
  <c r="AB386" i="3"/>
  <c r="AB360" i="3"/>
  <c r="AB591" i="3"/>
  <c r="AB385" i="3"/>
  <c r="AB445" i="3"/>
  <c r="AB299" i="3"/>
  <c r="AB495" i="3"/>
  <c r="AB148" i="3"/>
  <c r="AB435" i="3"/>
  <c r="AB59" i="3"/>
  <c r="AB348" i="3"/>
  <c r="AB159" i="3"/>
  <c r="AB347" i="3"/>
  <c r="AB543" i="3"/>
  <c r="AB196" i="3"/>
  <c r="AB424" i="3"/>
  <c r="AB48" i="3"/>
  <c r="AB364" i="3"/>
  <c r="AB592" i="3"/>
  <c r="AB251" i="3"/>
  <c r="AB154" i="3"/>
  <c r="AB475" i="3"/>
  <c r="AB18" i="3"/>
  <c r="AB618" i="3"/>
  <c r="AB178" i="3"/>
  <c r="AB566" i="3"/>
  <c r="AB429" i="3"/>
  <c r="AB434" i="3"/>
  <c r="AB354" i="3"/>
  <c r="AB441" i="3"/>
  <c r="AB446" i="3"/>
  <c r="AB222" i="3"/>
  <c r="AB309" i="3"/>
  <c r="AB170" i="3"/>
  <c r="AB378" i="3"/>
  <c r="AB465" i="3"/>
  <c r="AB326" i="3"/>
  <c r="AB534" i="3"/>
  <c r="AB3" i="3"/>
  <c r="AB482" i="3"/>
  <c r="AB68" i="3"/>
  <c r="AB258" i="3"/>
  <c r="AB345" i="3"/>
  <c r="AB350" i="3"/>
  <c r="AB139" i="3"/>
  <c r="AB111" i="3"/>
  <c r="AB398" i="3"/>
  <c r="AB439" i="3"/>
  <c r="AB418" i="3"/>
  <c r="AB166" i="3"/>
  <c r="AB595" i="3"/>
  <c r="AB574" i="3"/>
  <c r="AB83" i="3"/>
  <c r="AB243" i="3"/>
  <c r="AB615" i="3"/>
  <c r="AB268" i="3"/>
  <c r="AB528" i="3"/>
  <c r="AB181" i="3"/>
  <c r="AB383" i="3"/>
  <c r="AB505" i="3"/>
  <c r="AB323" i="3"/>
  <c r="AB577" i="3"/>
  <c r="AB231" i="3"/>
  <c r="AB576" i="3"/>
  <c r="AB229" i="3"/>
  <c r="AB431" i="3"/>
  <c r="AB49" i="3"/>
  <c r="AB312" i="3"/>
  <c r="AB599" i="3"/>
  <c r="AB252" i="3"/>
  <c r="AB480" i="3"/>
  <c r="AB133" i="3"/>
  <c r="AB129" i="3"/>
  <c r="AB619" i="3"/>
  <c r="AB120" i="3"/>
  <c r="AB199" i="3"/>
  <c r="AB322" i="3"/>
  <c r="AB249" i="3"/>
  <c r="AB573" i="3"/>
  <c r="AB578" i="3"/>
  <c r="AB498" i="3"/>
  <c r="AB585" i="3"/>
  <c r="AB590" i="3"/>
  <c r="AB366" i="3"/>
  <c r="AB453" i="3"/>
  <c r="AB314" i="3"/>
  <c r="AB522" i="3"/>
  <c r="AB609" i="3"/>
  <c r="AB470" i="3"/>
  <c r="AB108" i="3"/>
  <c r="AB71" i="3"/>
  <c r="AB123" i="3"/>
  <c r="AB55" i="3"/>
  <c r="AB402" i="3"/>
  <c r="AB489" i="3"/>
  <c r="AB494" i="3"/>
  <c r="AB283" i="3"/>
  <c r="AB262" i="3"/>
  <c r="AB310" i="3"/>
  <c r="AB583" i="3"/>
  <c r="AB562" i="3"/>
  <c r="AB104" i="3"/>
  <c r="AB164" i="3"/>
  <c r="AB10" i="3"/>
  <c r="AB616" i="3"/>
  <c r="AB216" i="3"/>
  <c r="AB588" i="3"/>
  <c r="AB241" i="3"/>
  <c r="AB496" i="3"/>
  <c r="AB155" i="3"/>
  <c r="AB351" i="3"/>
  <c r="AB217" i="3"/>
  <c r="AB291" i="3"/>
  <c r="AB551" i="3"/>
  <c r="AB204" i="3"/>
  <c r="AB544" i="3"/>
  <c r="AB203" i="3"/>
  <c r="AB399" i="3"/>
  <c r="AB335" i="3"/>
  <c r="AB280" i="3"/>
  <c r="AB567" i="3"/>
  <c r="AB220" i="3"/>
  <c r="AB448" i="3"/>
  <c r="B76" i="2"/>
  <c r="D76" i="2" s="1"/>
  <c r="D66" i="2"/>
  <c r="C66" i="6" l="1"/>
  <c r="C76" i="6" s="1"/>
  <c r="C89" i="6"/>
  <c r="T142" i="3"/>
  <c r="D89" i="2"/>
  <c r="F111" i="2" s="1"/>
  <c r="D88" i="2"/>
  <c r="C10" i="4"/>
  <c r="AB624" i="3"/>
  <c r="U108" i="3"/>
  <c r="AB623" i="3"/>
  <c r="W108" i="3" s="1" a="1"/>
  <c r="AB622" i="3"/>
  <c r="V108" i="3" s="1" a="1"/>
  <c r="V108" i="3" s="1"/>
  <c r="C88" i="6"/>
  <c r="B66" i="6"/>
  <c r="B76" i="6" s="1"/>
  <c r="E48" i="6"/>
  <c r="C101" i="6"/>
  <c r="C69" i="6"/>
  <c r="C51" i="6"/>
  <c r="C92" i="6"/>
  <c r="C67" i="6"/>
  <c r="C49" i="6"/>
  <c r="C104" i="6"/>
  <c r="C71" i="6"/>
  <c r="C53" i="6"/>
  <c r="C70" i="6"/>
  <c r="C52" i="6"/>
  <c r="C98" i="6"/>
  <c r="C95" i="6"/>
  <c r="C68" i="6"/>
  <c r="C50" i="6"/>
  <c r="D66" i="6" l="1"/>
  <c r="W108" i="3"/>
  <c r="Z112" i="3"/>
  <c r="R121" i="3" s="1"/>
  <c r="Z110" i="3"/>
  <c r="R119" i="3" s="1"/>
  <c r="Z109" i="3"/>
  <c r="R118" i="3" s="1"/>
  <c r="Z111" i="3"/>
  <c r="R120" i="3" s="1"/>
  <c r="AA109" i="3"/>
  <c r="T118" i="3" s="1"/>
  <c r="Y113" i="3"/>
  <c r="S122" i="3" s="1"/>
  <c r="C17" i="4" s="1"/>
  <c r="E17" i="4" s="1"/>
  <c r="AA110" i="3"/>
  <c r="T119" i="3" s="1"/>
  <c r="Y109" i="3"/>
  <c r="S118" i="3" s="1"/>
  <c r="C13" i="4" s="1"/>
  <c r="E13" i="4" s="1"/>
  <c r="AA111" i="3"/>
  <c r="T120" i="3" s="1"/>
  <c r="Y111" i="3"/>
  <c r="S120" i="3" s="1"/>
  <c r="C15" i="4" s="1"/>
  <c r="E15" i="4" s="1"/>
  <c r="AA112" i="3"/>
  <c r="T121" i="3" s="1"/>
  <c r="Y112" i="3"/>
  <c r="S121" i="3" s="1"/>
  <c r="C16" i="4" s="1"/>
  <c r="E16" i="4" s="1"/>
  <c r="Y110" i="3"/>
  <c r="S119" i="3" s="1"/>
  <c r="C14" i="4" s="1"/>
  <c r="E14" i="4" s="1"/>
  <c r="AA113" i="3"/>
  <c r="T122" i="3" s="1"/>
  <c r="Z113" i="3"/>
  <c r="R122" i="3" s="1"/>
  <c r="D14" i="4"/>
  <c r="F14" i="4" s="1"/>
  <c r="G14" i="4" s="1"/>
  <c r="D16" i="4"/>
  <c r="F16" i="4" s="1"/>
  <c r="G16" i="4" s="1"/>
  <c r="D17" i="4"/>
  <c r="F17" i="4" s="1"/>
  <c r="G17" i="4" s="1"/>
  <c r="D13" i="4"/>
  <c r="F13" i="4" s="1"/>
  <c r="G13" i="4" s="1"/>
  <c r="D15" i="4"/>
  <c r="F15" i="4" s="1"/>
  <c r="G15" i="4" s="1"/>
  <c r="F110" i="2"/>
  <c r="E88" i="2"/>
  <c r="C97" i="6"/>
  <c r="C94" i="6"/>
  <c r="B68" i="6"/>
  <c r="B78" i="6" s="1"/>
  <c r="E50" i="6"/>
  <c r="C78" i="6"/>
  <c r="D68" i="6"/>
  <c r="B70" i="6"/>
  <c r="B80" i="6" s="1"/>
  <c r="E52" i="6"/>
  <c r="C80" i="6"/>
  <c r="D70" i="6"/>
  <c r="C103" i="6"/>
  <c r="B71" i="6"/>
  <c r="B81" i="6" s="1"/>
  <c r="E53" i="6"/>
  <c r="C81" i="6"/>
  <c r="C91" i="6"/>
  <c r="B67" i="6"/>
  <c r="B77" i="6" s="1"/>
  <c r="E49" i="6"/>
  <c r="C77" i="6"/>
  <c r="D67" i="6"/>
  <c r="C100" i="6"/>
  <c r="B69" i="6"/>
  <c r="B79" i="6" s="1"/>
  <c r="E51" i="6"/>
  <c r="C79" i="6"/>
  <c r="D76" i="6"/>
  <c r="D89" i="6" s="1"/>
  <c r="F111" i="6" s="1"/>
  <c r="D71" i="6" l="1"/>
  <c r="D69" i="6"/>
  <c r="D88" i="6"/>
  <c r="F110" i="6" s="1"/>
  <c r="Z108" i="3"/>
  <c r="R117" i="3" s="1"/>
  <c r="Y108" i="3"/>
  <c r="S117" i="3" s="1"/>
  <c r="C12" i="4" s="1"/>
  <c r="AA108" i="3"/>
  <c r="T117" i="3" s="1"/>
  <c r="E88" i="6"/>
  <c r="D79" i="6"/>
  <c r="D98" i="6" s="1"/>
  <c r="F120" i="6" s="1"/>
  <c r="D77" i="6"/>
  <c r="D92" i="6" s="1"/>
  <c r="F114" i="6" s="1"/>
  <c r="D81" i="6"/>
  <c r="D104" i="6" s="1"/>
  <c r="F126" i="6" s="1"/>
  <c r="D80" i="6"/>
  <c r="D78" i="6"/>
  <c r="D95" i="6" s="1"/>
  <c r="F117" i="6" s="1"/>
  <c r="D103" i="6" l="1"/>
  <c r="E103" i="6" s="1"/>
  <c r="D97" i="6"/>
  <c r="D91" i="6"/>
  <c r="F113" i="6" s="1"/>
  <c r="D94" i="6"/>
  <c r="E12" i="4"/>
  <c r="D12" i="4"/>
  <c r="F12" i="4" s="1"/>
  <c r="G12" i="4" s="1"/>
  <c r="F119" i="6"/>
  <c r="E97" i="6"/>
  <c r="F116" i="6"/>
  <c r="E94" i="6"/>
  <c r="D101" i="6"/>
  <c r="F123" i="6" s="1"/>
  <c r="D100" i="6"/>
  <c r="F125" i="6"/>
  <c r="E91" i="6" l="1"/>
  <c r="F122" i="6"/>
  <c r="E100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<sst xmlns="http://schemas.openxmlformats.org/spreadsheetml/2006/main" count="499" uniqueCount="104">
  <si>
    <t>Obligasi</t>
  </si>
  <si>
    <t>FR0065</t>
  </si>
  <si>
    <t>FR0068</t>
  </si>
  <si>
    <t>FR0072</t>
  </si>
  <si>
    <t>Coupon</t>
  </si>
  <si>
    <t>Periode Pemberian</t>
  </si>
  <si>
    <t>Yield Bid</t>
  </si>
  <si>
    <t>Harga Beli</t>
  </si>
  <si>
    <t>Dikeluarkan</t>
  </si>
  <si>
    <t>Jatuh Tempo</t>
  </si>
  <si>
    <t>Harga (FV)</t>
  </si>
  <si>
    <t>Sisa Tenor</t>
  </si>
  <si>
    <t>Harga (PV)</t>
  </si>
  <si>
    <t>YTM</t>
  </si>
  <si>
    <t>Kupon p.a</t>
  </si>
  <si>
    <t>Kupon tiap periode</t>
  </si>
  <si>
    <t>YTM periode</t>
  </si>
  <si>
    <t>Sisa periode</t>
  </si>
  <si>
    <t>Jumlah Pembayaran</t>
  </si>
  <si>
    <t>Periode (t)</t>
  </si>
  <si>
    <t>Cash Flow</t>
  </si>
  <si>
    <t>PV</t>
  </si>
  <si>
    <t>Total</t>
  </si>
  <si>
    <t>Rata Rata Tahunan</t>
  </si>
  <si>
    <t>Durasi</t>
  </si>
  <si>
    <t>Pembobotan</t>
  </si>
  <si>
    <t>Dp</t>
  </si>
  <si>
    <t>w1</t>
  </si>
  <si>
    <t>w2</t>
  </si>
  <si>
    <t>FR0065&amp;FR0068</t>
  </si>
  <si>
    <t>FR0065&amp;FR0072</t>
  </si>
  <si>
    <t>FR0068&amp;FR0072</t>
  </si>
  <si>
    <t>Simulasi Kewajiban Bayar</t>
  </si>
  <si>
    <t>Jumlah Investasi</t>
  </si>
  <si>
    <t>waktu</t>
  </si>
  <si>
    <t>YTM FR0065</t>
  </si>
  <si>
    <t>YTM FR0068</t>
  </si>
  <si>
    <t>YTM FR0072</t>
  </si>
  <si>
    <t>Simulasi Obligasi</t>
  </si>
  <si>
    <t>koombinasi</t>
  </si>
  <si>
    <t>Alokasi Dana Obligasi 1</t>
  </si>
  <si>
    <t>Alokasi Dana Obligasi 2</t>
  </si>
  <si>
    <t>Dana yang Harus disiapkan (PV)</t>
  </si>
  <si>
    <t>Kombinasi</t>
  </si>
  <si>
    <t>Nilai investasi yang harus disiapkan Tiap tiap Obligasi</t>
  </si>
  <si>
    <t xml:space="preserve"> </t>
  </si>
  <si>
    <t>Pembelian Lembar saham</t>
  </si>
  <si>
    <t>400 lembar</t>
  </si>
  <si>
    <t>47 Lembar</t>
  </si>
  <si>
    <t>66 Lembar</t>
  </si>
  <si>
    <t>51 Lembar</t>
  </si>
  <si>
    <t>58 Lembar</t>
  </si>
  <si>
    <t>FR0064</t>
  </si>
  <si>
    <t>FR0097</t>
  </si>
  <si>
    <t>FR00102</t>
  </si>
  <si>
    <t>FR0064&amp;FR0072</t>
  </si>
  <si>
    <t>FR0064&amp;FR0097</t>
  </si>
  <si>
    <t>FR0064&amp;FR00102</t>
  </si>
  <si>
    <t>FR0072&amp;FR0097</t>
  </si>
  <si>
    <t>FR0072&amp;FR00102</t>
  </si>
  <si>
    <t>FR0097&amp;FR00102</t>
  </si>
  <si>
    <t>Jumlah</t>
  </si>
  <si>
    <t>YTM FR0064</t>
  </si>
  <si>
    <t>Ketentuan</t>
  </si>
  <si>
    <t>YTM FR0097</t>
  </si>
  <si>
    <t>Waktu</t>
  </si>
  <si>
    <t>YTM FR0102</t>
  </si>
  <si>
    <t>Koombinasi</t>
  </si>
  <si>
    <t>FR0102</t>
  </si>
  <si>
    <t>tanggal</t>
  </si>
  <si>
    <t>Return</t>
  </si>
  <si>
    <t>harga_beli</t>
  </si>
  <si>
    <t>harga_jual</t>
  </si>
  <si>
    <t>mean</t>
  </si>
  <si>
    <t>std.dev</t>
  </si>
  <si>
    <t>skewness</t>
  </si>
  <si>
    <t>excess kurtosis</t>
  </si>
  <si>
    <t>Zt</t>
  </si>
  <si>
    <t>RETURN PORTOFOLIO</t>
  </si>
  <si>
    <t>alpha 5%</t>
  </si>
  <si>
    <t>alpha 1%</t>
  </si>
  <si>
    <t>alpha 10%</t>
  </si>
  <si>
    <t>VaR</t>
  </si>
  <si>
    <t>JB</t>
  </si>
  <si>
    <t>p-value</t>
  </si>
  <si>
    <t xml:space="preserve">Metode Perhitungan </t>
  </si>
  <si>
    <t>alpha = 5%</t>
  </si>
  <si>
    <t>Estimasi VaR (Rupiah)</t>
  </si>
  <si>
    <t>Cornish-Fisher</t>
  </si>
  <si>
    <t>Std dev</t>
  </si>
  <si>
    <t>kurtosis</t>
  </si>
  <si>
    <t>Total hari</t>
  </si>
  <si>
    <t xml:space="preserve">alpha </t>
  </si>
  <si>
    <t>n (violation)</t>
  </si>
  <si>
    <t>Pembilang</t>
  </si>
  <si>
    <t>Penyebut</t>
  </si>
  <si>
    <t>LR</t>
  </si>
  <si>
    <t>Status</t>
  </si>
  <si>
    <t>FR0100</t>
  </si>
  <si>
    <t>FR0100&amp;FR0072</t>
  </si>
  <si>
    <t>FR0100&amp;FR0097</t>
  </si>
  <si>
    <t>FR0100&amp;FR00102</t>
  </si>
  <si>
    <t>YTM FR0100</t>
  </si>
  <si>
    <t>FR00100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</si>
</sst>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&quot;Rp&quot;#,##0.00;[Red]\-&quot;Rp&quot;#,##0.00"/>
    <numFmt numFmtId="44" formatCode="_-&quot;Rp&quot;* #,##0.00_-;\-&quot;Rp&quot;* #,##0.00_-;_-&quot;Rp&quot;* &quot;-&quot;??_-;_-@_-"/>
    <numFmt numFmtId="164" formatCode="_-[$Rp-3809]* #,##0.00_-;\-[$Rp-3809]* #,##0.00_-;_-[$Rp-3809]* &quot;-&quot;??_-;_-@_-"/>
    <numFmt numFmtId="165" formatCode="0.000%"/>
    <numFmt numFmtId="166" formatCode="_-[$Rp-3809]* #,##0.000_-;\-[$Rp-3809]* #,##0.000_-;_-[$Rp-3809]* &quot;-&quot;???_-;_-@_-"/>
    <numFmt numFmtId="167" formatCode="0.0"/>
    <numFmt numFmtId="168" formatCode="0.0000%"/>
    <numFmt numFmtId="169" formatCode="&quot;Rp&quot;#,##0.00"/>
  </numFmts>
  <fonts count="10" x14ac:knownFonts="1">
    <font>
      <sz val="11"/>
      <color theme="1"/>
      <name val="Calibri"/>
      <family val="2"/>
      <scheme val="minor"/>
    </font>
    <font>
      <sz val="7"/>
      <color rgb="FFFFFFFF"/>
      <name val="Montserrat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Calibri"/>
      <family val="2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01">
    <xf numFmtId="0" fontId="0" fillId="0" borderId="0" xfId="0"/>
    <xf numFmtId="10" fontId="0" fillId="0" borderId="0" xfId="0" applyNumberFormat="1"/>
    <xf numFmtId="164" fontId="0" fillId="0" borderId="0" xfId="0" applyNumberFormat="1"/>
    <xf numFmtId="9" fontId="0" fillId="0" borderId="0" xfId="0" applyNumberFormat="1"/>
    <xf numFmtId="44" fontId="0" fillId="0" borderId="0" xfId="2" applyFont="1"/>
    <xf numFmtId="44" fontId="0" fillId="0" borderId="0" xfId="0" applyNumberFormat="1"/>
    <xf numFmtId="0" fontId="0" fillId="0" borderId="1" xfId="0" applyBorder="1"/>
    <xf numFmtId="165" fontId="0" fillId="0" borderId="1" xfId="0" applyNumberFormat="1" applyBorder="1"/>
    <xf numFmtId="10" fontId="0" fillId="0" borderId="1" xfId="0" applyNumberFormat="1" applyBorder="1"/>
    <xf numFmtId="14" fontId="1" fillId="0" borderId="1" xfId="0" applyNumberFormat="1" applyFont="1" applyBorder="1"/>
    <xf numFmtId="15" fontId="0" fillId="0" borderId="1" xfId="0" applyNumberFormat="1" applyBorder="1"/>
    <xf numFmtId="164" fontId="0" fillId="0" borderId="1" xfId="0" applyNumberFormat="1" applyBorder="1"/>
    <xf numFmtId="0" fontId="3" fillId="0" borderId="1" xfId="0" applyFont="1" applyBorder="1"/>
    <xf numFmtId="166" fontId="0" fillId="0" borderId="1" xfId="0" applyNumberFormat="1" applyBorder="1"/>
    <xf numFmtId="9" fontId="0" fillId="0" borderId="1" xfId="1" applyFont="1" applyBorder="1"/>
    <xf numFmtId="9" fontId="0" fillId="0" borderId="1" xfId="0" applyNumberFormat="1" applyBorder="1"/>
    <xf numFmtId="0" fontId="0" fillId="0" borderId="0" xfId="0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0" fillId="0" borderId="5" xfId="0" applyBorder="1"/>
    <xf numFmtId="166" fontId="0" fillId="0" borderId="5" xfId="0" applyNumberFormat="1" applyBorder="1"/>
    <xf numFmtId="0" fontId="0" fillId="0" borderId="7" xfId="0" applyBorder="1"/>
    <xf numFmtId="0" fontId="0" fillId="0" borderId="8" xfId="0" applyBorder="1"/>
    <xf numFmtId="164" fontId="0" fillId="0" borderId="3" xfId="0" applyNumberFormat="1" applyBorder="1"/>
    <xf numFmtId="9" fontId="0" fillId="0" borderId="2" xfId="0" applyNumberFormat="1" applyBorder="1"/>
    <xf numFmtId="164" fontId="0" fillId="0" borderId="5" xfId="0" applyNumberFormat="1" applyBorder="1"/>
    <xf numFmtId="10" fontId="0" fillId="0" borderId="8" xfId="0" applyNumberFormat="1" applyBorder="1"/>
    <xf numFmtId="10" fontId="0" fillId="0" borderId="5" xfId="0" applyNumberFormat="1" applyBorder="1"/>
    <xf numFmtId="164" fontId="0" fillId="0" borderId="9" xfId="0" applyNumberFormat="1" applyBorder="1"/>
    <xf numFmtId="164" fontId="0" fillId="0" borderId="8" xfId="0" applyNumberFormat="1" applyBorder="1"/>
    <xf numFmtId="166" fontId="0" fillId="0" borderId="9" xfId="0" applyNumberFormat="1" applyBorder="1"/>
    <xf numFmtId="10" fontId="0" fillId="0" borderId="1" xfId="1" applyNumberFormat="1" applyFont="1" applyBorder="1"/>
    <xf numFmtId="10" fontId="0" fillId="0" borderId="8" xfId="1" applyNumberFormat="1" applyFont="1" applyBorder="1"/>
    <xf numFmtId="9" fontId="0" fillId="0" borderId="5" xfId="0" applyNumberFormat="1" applyBorder="1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10" fontId="4" fillId="2" borderId="3" xfId="0" applyNumberFormat="1" applyFont="1" applyFill="1" applyBorder="1" applyAlignment="1">
      <alignment horizontal="center"/>
    </xf>
    <xf numFmtId="10" fontId="5" fillId="2" borderId="4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0" fontId="5" fillId="2" borderId="3" xfId="0" applyNumberFormat="1" applyFont="1" applyFill="1" applyBorder="1" applyAlignment="1">
      <alignment horizontal="center"/>
    </xf>
    <xf numFmtId="15" fontId="0" fillId="2" borderId="1" xfId="0" applyNumberFormat="1" applyFill="1" applyBorder="1" applyAlignment="1">
      <alignment horizontal="center"/>
    </xf>
    <xf numFmtId="15" fontId="5" fillId="2" borderId="3" xfId="0" applyNumberFormat="1" applyFont="1" applyFill="1" applyBorder="1" applyAlignment="1">
      <alignment horizontal="center"/>
    </xf>
    <xf numFmtId="15" fontId="5" fillId="2" borderId="4" xfId="0" applyNumberFormat="1" applyFon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8" fontId="5" fillId="2" borderId="3" xfId="0" applyNumberFormat="1" applyFont="1" applyFill="1" applyBorder="1" applyAlignment="1">
      <alignment horizontal="center"/>
    </xf>
    <xf numFmtId="8" fontId="5" fillId="2" borderId="4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8" fillId="3" borderId="2" xfId="0" applyFont="1" applyFill="1" applyBorder="1" applyAlignment="1">
      <alignment horizontal="center"/>
    </xf>
    <xf numFmtId="0" fontId="0" fillId="4" borderId="0" xfId="0" applyFill="1"/>
    <xf numFmtId="0" fontId="0" fillId="2" borderId="1" xfId="0" applyFill="1" applyBorder="1"/>
    <xf numFmtId="164" fontId="0" fillId="0" borderId="1" xfId="0" applyNumberFormat="1" applyBorder="1" applyAlignment="1">
      <alignment wrapText="1"/>
    </xf>
    <xf numFmtId="0" fontId="7" fillId="2" borderId="1" xfId="0" applyFont="1" applyFill="1" applyBorder="1"/>
    <xf numFmtId="0" fontId="7" fillId="2" borderId="3" xfId="0" applyFont="1" applyFill="1" applyBorder="1"/>
    <xf numFmtId="0" fontId="7" fillId="2" borderId="6" xfId="0" applyFont="1" applyFill="1" applyBorder="1"/>
    <xf numFmtId="0" fontId="6" fillId="3" borderId="5" xfId="0" applyFon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/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10" fontId="6" fillId="5" borderId="5" xfId="0" applyNumberFormat="1" applyFont="1" applyFill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165" fontId="0" fillId="0" borderId="0" xfId="0" applyNumberFormat="1"/>
    <xf numFmtId="168" fontId="6" fillId="5" borderId="0" xfId="0" applyNumberFormat="1" applyFont="1" applyFill="1"/>
    <xf numFmtId="168" fontId="0" fillId="0" borderId="0" xfId="0" applyNumberFormat="1"/>
    <xf numFmtId="168" fontId="6" fillId="5" borderId="0" xfId="0" applyNumberFormat="1" applyFont="1" applyFill="1" applyAlignment="1">
      <alignment horizontal="center"/>
    </xf>
    <xf numFmtId="169" fontId="0" fillId="0" borderId="0" xfId="0" applyNumberFormat="1"/>
    <xf numFmtId="0" fontId="5" fillId="2" borderId="5" xfId="0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4" xfId="0" applyBorder="1"/>
    <xf numFmtId="0" fontId="9" fillId="0" borderId="15" xfId="0" applyFont="1" applyBorder="1" applyAlignment="1">
      <alignment horizontal="center"/>
    </xf>
    <xf numFmtId="44" fontId="0" fillId="0" borderId="5" xfId="2" applyFont="1" applyBorder="1"/>
    <xf numFmtId="44" fontId="0" fillId="0" borderId="5" xfId="0" applyNumberFormat="1" applyBorder="1"/>
    <xf numFmtId="167" fontId="0" fillId="0" borderId="5" xfId="0" applyNumberFormat="1" applyBorder="1"/>
    <xf numFmtId="167" fontId="0" fillId="2" borderId="5" xfId="0" applyNumberFormat="1" applyFill="1" applyBorder="1"/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64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166" fontId="0" fillId="0" borderId="9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2" borderId="5" xfId="0" applyNumberForma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166" fontId="0" fillId="0" borderId="5" xfId="0" applyNumberForma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594360</xdr:colOff>
      <xdr:row>1</xdr:row>
      <xdr:rowOff>76200</xdr:rowOff>
    </xdr:from>
    <xdr:to>
      <xdr:col>25</xdr:col>
      <xdr:colOff>191191</xdr:colOff>
      <xdr:row>15</xdr:row>
      <xdr:rowOff>59410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F46F6756-0D9B-645C-4333-6F9560A76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259080"/>
          <a:ext cx="4953691" cy="2543530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26</xdr:col>
      <xdr:colOff>315018</xdr:colOff>
      <xdr:row>30</xdr:row>
      <xdr:rowOff>32721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2E22DC3-C2C9-420E-5690-715982D1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90320" y="3108960"/>
          <a:ext cx="4963218" cy="24101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844</xdr:colOff>
      <xdr:row>7</xdr:row>
      <xdr:rowOff>177368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6E5A776-90A6-0D1F-BE67-98F8FC3C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49219" cy="14575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AD4E-D37D-4808-9CD3-607663B68CC3}">
  <dimension ref="A1:R96"/>
  <sheetViews>
    <sheetView topLeftCell="A58" zoomScale="80" workbookViewId="0">
      <selection activeCell="E107" sqref="E107"/>
    </sheetView>
  </sheetViews>
  <sheetFormatPr defaultRowHeight="14.4" x14ac:dyDescent="0.3"/>
  <cols>
    <col min="1" max="1" width="16.44140625" bestFit="1" customWidth="1"/>
    <col min="2" max="2" width="18.33203125" bestFit="1" customWidth="1"/>
    <col min="3" max="3" width="24.44140625" bestFit="1" customWidth="1"/>
    <col min="4" max="5" width="18.33203125" bestFit="1" customWidth="1"/>
    <col min="6" max="6" width="20.44140625" bestFit="1" customWidth="1"/>
    <col min="7" max="7" width="17.44140625" bestFit="1" customWidth="1"/>
    <col min="8" max="8" width="14.5546875" bestFit="1" customWidth="1"/>
    <col min="9" max="9" width="16.109375" bestFit="1" customWidth="1"/>
    <col min="11" max="11" width="17.44140625" bestFit="1" customWidth="1"/>
    <col min="12" max="12" width="17.109375" bestFit="1" customWidth="1"/>
    <col min="13" max="13" width="14.5546875" bestFit="1" customWidth="1"/>
    <col min="14" max="14" width="16.109375" bestFit="1" customWidth="1"/>
    <col min="17" max="17" width="19.5546875" bestFit="1" customWidth="1"/>
  </cols>
  <sheetData>
    <row r="1" spans="1:12" x14ac:dyDescent="0.3">
      <c r="A1" s="12" t="s">
        <v>0</v>
      </c>
      <c r="B1" s="12" t="s">
        <v>1</v>
      </c>
      <c r="C1" s="12" t="s">
        <v>2</v>
      </c>
      <c r="D1" s="12" t="s">
        <v>3</v>
      </c>
    </row>
    <row r="2" spans="1:12" x14ac:dyDescent="0.3">
      <c r="A2" s="6" t="s">
        <v>4</v>
      </c>
      <c r="B2" s="7">
        <v>6.6250000000000003E-2</v>
      </c>
      <c r="C2" s="7">
        <v>8.3750000000000005E-2</v>
      </c>
      <c r="D2" s="7">
        <v>8.2500000000000004E-2</v>
      </c>
    </row>
    <row r="3" spans="1:12" x14ac:dyDescent="0.3">
      <c r="A3" s="6" t="s">
        <v>5</v>
      </c>
      <c r="B3" s="6">
        <v>2</v>
      </c>
      <c r="C3" s="6">
        <v>2</v>
      </c>
      <c r="D3" s="6">
        <v>2</v>
      </c>
    </row>
    <row r="4" spans="1:12" x14ac:dyDescent="0.3">
      <c r="A4" s="6" t="s">
        <v>6</v>
      </c>
      <c r="B4" s="8">
        <v>6.93E-2</v>
      </c>
      <c r="C4" s="8">
        <v>6.9400000000000003E-2</v>
      </c>
      <c r="D4" s="8">
        <v>6.9699999999999998E-2</v>
      </c>
    </row>
    <row r="5" spans="1:12" x14ac:dyDescent="0.3">
      <c r="A5" s="6" t="s">
        <v>7</v>
      </c>
      <c r="B5" s="8">
        <v>0.98350000000000004</v>
      </c>
      <c r="C5" s="8">
        <v>1.085</v>
      </c>
      <c r="D5" s="8">
        <v>1.091</v>
      </c>
    </row>
    <row r="6" spans="1:12" x14ac:dyDescent="0.3">
      <c r="A6" s="6" t="s">
        <v>8</v>
      </c>
      <c r="B6" s="9">
        <v>41151</v>
      </c>
      <c r="C6" s="10">
        <v>41487</v>
      </c>
      <c r="D6" s="10">
        <v>42194</v>
      </c>
    </row>
    <row r="7" spans="1:12" x14ac:dyDescent="0.3">
      <c r="A7" s="6" t="s">
        <v>9</v>
      </c>
      <c r="B7" s="10">
        <v>48714</v>
      </c>
      <c r="C7" s="10">
        <v>49018</v>
      </c>
      <c r="D7" s="10">
        <v>49810</v>
      </c>
    </row>
    <row r="8" spans="1:12" x14ac:dyDescent="0.3">
      <c r="A8" s="6" t="s">
        <v>10</v>
      </c>
      <c r="B8" s="11">
        <v>1000000</v>
      </c>
      <c r="C8" s="11">
        <v>1000000</v>
      </c>
      <c r="D8" s="11">
        <v>1000000</v>
      </c>
    </row>
    <row r="9" spans="1:12" x14ac:dyDescent="0.3">
      <c r="A9" s="6" t="s">
        <v>11</v>
      </c>
      <c r="B9" s="6">
        <v>7</v>
      </c>
      <c r="C9" s="6">
        <v>7.8</v>
      </c>
      <c r="D9" s="6">
        <v>10</v>
      </c>
    </row>
    <row r="10" spans="1:12" x14ac:dyDescent="0.3">
      <c r="A10" s="6" t="s">
        <v>12</v>
      </c>
      <c r="B10" s="11">
        <f>B8*B5</f>
        <v>983500</v>
      </c>
      <c r="C10" s="11">
        <f>C8*C5</f>
        <v>1085000</v>
      </c>
      <c r="D10" s="11">
        <f>D8*D5</f>
        <v>1091000</v>
      </c>
    </row>
    <row r="11" spans="1:12" x14ac:dyDescent="0.3">
      <c r="A11" s="6" t="s">
        <v>13</v>
      </c>
      <c r="B11" s="8">
        <v>6.6799999999999998E-2</v>
      </c>
      <c r="C11" s="8">
        <v>6.7500000000000004E-2</v>
      </c>
      <c r="D11" s="8">
        <v>6.7900000000000002E-2</v>
      </c>
    </row>
    <row r="14" spans="1:12" x14ac:dyDescent="0.3">
      <c r="A14" s="97" t="s">
        <v>1</v>
      </c>
      <c r="B14" s="97"/>
      <c r="F14" s="97" t="s">
        <v>2</v>
      </c>
      <c r="G14" s="97"/>
      <c r="K14" s="97" t="s">
        <v>3</v>
      </c>
      <c r="L14" s="97"/>
    </row>
    <row r="15" spans="1:12" x14ac:dyDescent="0.3">
      <c r="A15" s="6" t="s">
        <v>14</v>
      </c>
      <c r="B15" s="11">
        <f>B8*B2</f>
        <v>66250</v>
      </c>
      <c r="F15" s="6" t="s">
        <v>14</v>
      </c>
      <c r="G15" s="13">
        <f>C8*C2</f>
        <v>83750</v>
      </c>
      <c r="K15" s="6" t="s">
        <v>14</v>
      </c>
      <c r="L15" s="13">
        <f>D8*D2</f>
        <v>82500</v>
      </c>
    </row>
    <row r="16" spans="1:12" x14ac:dyDescent="0.3">
      <c r="A16" s="6" t="s">
        <v>15</v>
      </c>
      <c r="B16" s="11">
        <f>B15/2</f>
        <v>33125</v>
      </c>
      <c r="F16" s="6" t="s">
        <v>15</v>
      </c>
      <c r="G16" s="13">
        <f>G15/2</f>
        <v>41875</v>
      </c>
      <c r="K16" s="6" t="s">
        <v>15</v>
      </c>
      <c r="L16" s="13">
        <f>L15/2</f>
        <v>41250</v>
      </c>
    </row>
    <row r="17" spans="1:18" x14ac:dyDescent="0.3">
      <c r="A17" s="6" t="s">
        <v>16</v>
      </c>
      <c r="B17" s="8">
        <f>B11</f>
        <v>6.6799999999999998E-2</v>
      </c>
      <c r="F17" s="6" t="s">
        <v>16</v>
      </c>
      <c r="G17" s="8">
        <f>C11</f>
        <v>6.7500000000000004E-2</v>
      </c>
      <c r="K17" s="6" t="s">
        <v>16</v>
      </c>
      <c r="L17" s="8">
        <f>D11</f>
        <v>6.7900000000000002E-2</v>
      </c>
    </row>
    <row r="18" spans="1:18" x14ac:dyDescent="0.3">
      <c r="A18" s="6" t="s">
        <v>17</v>
      </c>
      <c r="B18" s="6">
        <f>B9</f>
        <v>7</v>
      </c>
      <c r="F18" s="6" t="s">
        <v>17</v>
      </c>
      <c r="G18" s="6">
        <f>C9</f>
        <v>7.8</v>
      </c>
      <c r="K18" s="6" t="s">
        <v>17</v>
      </c>
      <c r="L18" s="6">
        <f>D9</f>
        <v>10</v>
      </c>
    </row>
    <row r="19" spans="1:18" x14ac:dyDescent="0.3">
      <c r="A19" s="6" t="s">
        <v>18</v>
      </c>
      <c r="B19" s="6">
        <f>B18*2</f>
        <v>14</v>
      </c>
      <c r="F19" s="6" t="s">
        <v>18</v>
      </c>
      <c r="G19" s="6">
        <f>G18*2</f>
        <v>15.6</v>
      </c>
      <c r="K19" s="6" t="s">
        <v>18</v>
      </c>
      <c r="L19" s="6">
        <f>L18*2</f>
        <v>20</v>
      </c>
    </row>
    <row r="22" spans="1:18" x14ac:dyDescent="0.3">
      <c r="A22" s="6" t="s">
        <v>19</v>
      </c>
      <c r="B22" s="6" t="s">
        <v>20</v>
      </c>
      <c r="C22" s="6" t="s">
        <v>21</v>
      </c>
      <c r="D22" s="6" t="s">
        <v>22</v>
      </c>
      <c r="F22" s="6" t="s">
        <v>19</v>
      </c>
      <c r="G22" s="6" t="s">
        <v>20</v>
      </c>
      <c r="H22" s="6" t="s">
        <v>21</v>
      </c>
      <c r="I22" s="6" t="s">
        <v>22</v>
      </c>
      <c r="K22" s="6" t="s">
        <v>19</v>
      </c>
      <c r="L22" s="6" t="s">
        <v>20</v>
      </c>
      <c r="M22" s="6" t="s">
        <v>21</v>
      </c>
      <c r="N22" s="6" t="s">
        <v>22</v>
      </c>
    </row>
    <row r="23" spans="1:18" x14ac:dyDescent="0.3">
      <c r="A23" s="6">
        <v>1</v>
      </c>
      <c r="B23" s="11">
        <f>$B$16</f>
        <v>33125</v>
      </c>
      <c r="C23" s="11">
        <f>B23/((1+$B$17)^A23)</f>
        <v>31050.806149231346</v>
      </c>
      <c r="D23" s="11">
        <f>A23*C23</f>
        <v>31050.806149231346</v>
      </c>
      <c r="F23" s="6">
        <v>1</v>
      </c>
      <c r="G23" s="13">
        <f>$G$16</f>
        <v>41875</v>
      </c>
      <c r="H23" s="11">
        <f>G23/(1+$G$17)^F23</f>
        <v>39227.166276346608</v>
      </c>
      <c r="I23" s="11">
        <f>F23*H23</f>
        <v>39227.166276346608</v>
      </c>
      <c r="K23" s="6">
        <v>1</v>
      </c>
      <c r="L23" s="13">
        <f>$L$16</f>
        <v>41250</v>
      </c>
      <c r="M23" s="11">
        <f>L23/(1+$L$17)^K23</f>
        <v>38627.212285794551</v>
      </c>
      <c r="N23" s="11">
        <f>K23*M23</f>
        <v>38627.212285794551</v>
      </c>
      <c r="Q23" t="s">
        <v>23</v>
      </c>
      <c r="R23">
        <f>AVERAGE(D39,I41,N45)</f>
        <v>5.7852054076304595</v>
      </c>
    </row>
    <row r="24" spans="1:18" x14ac:dyDescent="0.3">
      <c r="A24" s="6">
        <v>2</v>
      </c>
      <c r="B24" s="11">
        <f t="shared" ref="B24:B35" si="0">$B$16</f>
        <v>33125</v>
      </c>
      <c r="C24" s="11">
        <f t="shared" ref="C24:C36" si="1">B24/((1+$B$17)^A24)</f>
        <v>29106.492453347717</v>
      </c>
      <c r="D24" s="11">
        <f t="shared" ref="D24:D36" si="2">A24*C24</f>
        <v>58212.984906695434</v>
      </c>
      <c r="F24" s="6">
        <v>2</v>
      </c>
      <c r="G24" s="13">
        <f t="shared" ref="G24:G37" si="3">$G$16</f>
        <v>41875</v>
      </c>
      <c r="H24" s="11">
        <f t="shared" ref="H24:H38" si="4">G24/(1+$G$17)^F24</f>
        <v>36746.759977842259</v>
      </c>
      <c r="I24" s="11">
        <f t="shared" ref="I24:I38" si="5">F24*H24</f>
        <v>73493.519955684518</v>
      </c>
      <c r="K24" s="6">
        <v>2</v>
      </c>
      <c r="L24" s="13">
        <f t="shared" ref="L24:L41" si="6">$L$16</f>
        <v>41250</v>
      </c>
      <c r="M24" s="11">
        <f t="shared" ref="M24:M42" si="7">L24/(1+$L$17)^K24</f>
        <v>36171.188581135451</v>
      </c>
      <c r="N24" s="11">
        <f t="shared" ref="N24:N42" si="8">K24*M24</f>
        <v>72342.377162270903</v>
      </c>
    </row>
    <row r="25" spans="1:18" x14ac:dyDescent="0.3">
      <c r="A25" s="6">
        <v>3</v>
      </c>
      <c r="B25" s="11">
        <f t="shared" si="0"/>
        <v>33125</v>
      </c>
      <c r="C25" s="11">
        <f t="shared" si="1"/>
        <v>27283.926184240456</v>
      </c>
      <c r="D25" s="11">
        <f t="shared" si="2"/>
        <v>81851.778552721371</v>
      </c>
      <c r="F25" s="6">
        <v>3</v>
      </c>
      <c r="G25" s="13">
        <f t="shared" si="3"/>
        <v>41875</v>
      </c>
      <c r="H25" s="11">
        <f t="shared" si="4"/>
        <v>34423.194358634442</v>
      </c>
      <c r="I25" s="11">
        <f t="shared" si="5"/>
        <v>103269.58307590333</v>
      </c>
      <c r="K25" s="6">
        <v>3</v>
      </c>
      <c r="L25" s="13">
        <f t="shared" si="6"/>
        <v>41250</v>
      </c>
      <c r="M25" s="11">
        <f t="shared" si="7"/>
        <v>33871.32557461883</v>
      </c>
      <c r="N25" s="11">
        <f t="shared" si="8"/>
        <v>101613.9767238565</v>
      </c>
    </row>
    <row r="26" spans="1:18" x14ac:dyDescent="0.3">
      <c r="A26" s="6">
        <v>4</v>
      </c>
      <c r="B26" s="11">
        <f t="shared" si="0"/>
        <v>33125</v>
      </c>
      <c r="C26" s="11">
        <f t="shared" si="1"/>
        <v>25575.483862242647</v>
      </c>
      <c r="D26" s="11">
        <f t="shared" si="2"/>
        <v>102301.93544897059</v>
      </c>
      <c r="F26" s="6">
        <v>4</v>
      </c>
      <c r="G26" s="13">
        <f t="shared" si="3"/>
        <v>41875</v>
      </c>
      <c r="H26" s="11">
        <f t="shared" si="4"/>
        <v>32246.552092397604</v>
      </c>
      <c r="I26" s="11">
        <f t="shared" si="5"/>
        <v>128986.20836959041</v>
      </c>
      <c r="K26" s="6">
        <v>4</v>
      </c>
      <c r="L26" s="13">
        <f t="shared" si="6"/>
        <v>41250</v>
      </c>
      <c r="M26" s="11">
        <f t="shared" si="7"/>
        <v>31717.694142353055</v>
      </c>
      <c r="N26" s="11">
        <f t="shared" si="8"/>
        <v>126870.77656941222</v>
      </c>
    </row>
    <row r="27" spans="1:18" x14ac:dyDescent="0.3">
      <c r="A27" s="6">
        <v>5</v>
      </c>
      <c r="B27" s="11">
        <f t="shared" si="0"/>
        <v>33125</v>
      </c>
      <c r="C27" s="11">
        <f t="shared" si="1"/>
        <v>23974.019368431429</v>
      </c>
      <c r="D27" s="11">
        <f t="shared" si="2"/>
        <v>119870.09684215715</v>
      </c>
      <c r="F27" s="6">
        <v>5</v>
      </c>
      <c r="G27" s="13">
        <f t="shared" si="3"/>
        <v>41875</v>
      </c>
      <c r="H27" s="11">
        <f t="shared" si="4"/>
        <v>30207.54294369799</v>
      </c>
      <c r="I27" s="11">
        <f t="shared" si="5"/>
        <v>151037.71471848997</v>
      </c>
      <c r="K27" s="6">
        <v>5</v>
      </c>
      <c r="L27" s="13">
        <f t="shared" si="6"/>
        <v>41250</v>
      </c>
      <c r="M27" s="11">
        <f t="shared" si="7"/>
        <v>29700.996481274517</v>
      </c>
      <c r="N27" s="11">
        <f t="shared" si="8"/>
        <v>148504.98240637258</v>
      </c>
    </row>
    <row r="28" spans="1:18" x14ac:dyDescent="0.3">
      <c r="A28" s="6">
        <v>6</v>
      </c>
      <c r="B28" s="11">
        <f t="shared" si="0"/>
        <v>33125</v>
      </c>
      <c r="C28" s="11">
        <f t="shared" si="1"/>
        <v>22472.834053647759</v>
      </c>
      <c r="D28" s="11">
        <f t="shared" si="2"/>
        <v>134837.00432188655</v>
      </c>
      <c r="F28" s="6">
        <v>6</v>
      </c>
      <c r="G28" s="13">
        <f t="shared" si="3"/>
        <v>41875</v>
      </c>
      <c r="H28" s="11">
        <f t="shared" si="4"/>
        <v>28297.464115876341</v>
      </c>
      <c r="I28" s="11">
        <f t="shared" si="5"/>
        <v>169784.78469525804</v>
      </c>
      <c r="K28" s="6">
        <v>6</v>
      </c>
      <c r="L28" s="13">
        <f t="shared" si="6"/>
        <v>41250</v>
      </c>
      <c r="M28" s="11">
        <f t="shared" si="7"/>
        <v>27812.525968044301</v>
      </c>
      <c r="N28" s="11">
        <f t="shared" si="8"/>
        <v>166875.15580826582</v>
      </c>
    </row>
    <row r="29" spans="1:18" x14ac:dyDescent="0.3">
      <c r="A29" s="6">
        <v>7</v>
      </c>
      <c r="B29" s="11">
        <f t="shared" si="0"/>
        <v>33125</v>
      </c>
      <c r="C29" s="11">
        <f t="shared" si="1"/>
        <v>21065.648719204873</v>
      </c>
      <c r="D29" s="11">
        <f t="shared" si="2"/>
        <v>147459.54103443411</v>
      </c>
      <c r="F29" s="6">
        <v>7</v>
      </c>
      <c r="G29" s="13">
        <f t="shared" si="3"/>
        <v>41875</v>
      </c>
      <c r="H29" s="11">
        <f t="shared" si="4"/>
        <v>26508.16310620735</v>
      </c>
      <c r="I29" s="11">
        <f t="shared" si="5"/>
        <v>185557.14174345144</v>
      </c>
      <c r="K29" s="6">
        <v>7</v>
      </c>
      <c r="L29" s="13">
        <f t="shared" si="6"/>
        <v>41250</v>
      </c>
      <c r="M29" s="11">
        <f t="shared" si="7"/>
        <v>26044.129570225963</v>
      </c>
      <c r="N29" s="11">
        <f t="shared" si="8"/>
        <v>182308.90699158175</v>
      </c>
    </row>
    <row r="30" spans="1:18" x14ac:dyDescent="0.3">
      <c r="A30" s="6">
        <v>8</v>
      </c>
      <c r="B30" s="11">
        <f t="shared" si="0"/>
        <v>33125</v>
      </c>
      <c r="C30" s="11">
        <f t="shared" si="1"/>
        <v>19746.577352085558</v>
      </c>
      <c r="D30" s="11">
        <f t="shared" si="2"/>
        <v>157972.61881668447</v>
      </c>
      <c r="F30" s="6">
        <v>8</v>
      </c>
      <c r="G30" s="13">
        <f t="shared" si="3"/>
        <v>41875</v>
      </c>
      <c r="H30" s="11">
        <f t="shared" si="4"/>
        <v>24832.002909796112</v>
      </c>
      <c r="I30" s="11">
        <f t="shared" si="5"/>
        <v>198656.0232783689</v>
      </c>
      <c r="K30" s="6">
        <v>8</v>
      </c>
      <c r="L30" s="13">
        <f t="shared" si="6"/>
        <v>41250</v>
      </c>
      <c r="M30" s="11">
        <f t="shared" si="7"/>
        <v>24388.172647463209</v>
      </c>
      <c r="N30" s="11">
        <f t="shared" si="8"/>
        <v>195105.38117970567</v>
      </c>
    </row>
    <row r="31" spans="1:18" x14ac:dyDescent="0.3">
      <c r="A31" s="6">
        <v>9</v>
      </c>
      <c r="B31" s="11">
        <f t="shared" si="0"/>
        <v>33125</v>
      </c>
      <c r="C31" s="11">
        <f t="shared" si="1"/>
        <v>18510.102504767114</v>
      </c>
      <c r="D31" s="11">
        <f t="shared" si="2"/>
        <v>166590.92254290404</v>
      </c>
      <c r="F31" s="6">
        <v>9</v>
      </c>
      <c r="G31" s="13">
        <f t="shared" si="3"/>
        <v>41875</v>
      </c>
      <c r="H31" s="11">
        <f t="shared" si="4"/>
        <v>23261.829423696596</v>
      </c>
      <c r="I31" s="11">
        <f t="shared" si="5"/>
        <v>209356.46481326935</v>
      </c>
      <c r="K31" s="6">
        <v>9</v>
      </c>
      <c r="L31" s="13">
        <f t="shared" si="6"/>
        <v>41250</v>
      </c>
      <c r="M31" s="11">
        <f t="shared" si="7"/>
        <v>22837.505990695015</v>
      </c>
      <c r="N31" s="11">
        <f t="shared" si="8"/>
        <v>205537.55391625513</v>
      </c>
    </row>
    <row r="32" spans="1:18" x14ac:dyDescent="0.3">
      <c r="A32" s="6">
        <v>10</v>
      </c>
      <c r="B32" s="11">
        <f t="shared" si="0"/>
        <v>33125</v>
      </c>
      <c r="C32" s="11">
        <f t="shared" si="1"/>
        <v>17351.052216692082</v>
      </c>
      <c r="D32" s="11">
        <f t="shared" si="2"/>
        <v>173510.52216692083</v>
      </c>
      <c r="F32" s="6">
        <v>10</v>
      </c>
      <c r="G32" s="13">
        <f t="shared" si="3"/>
        <v>41875</v>
      </c>
      <c r="H32" s="11">
        <f t="shared" si="4"/>
        <v>21790.94091212796</v>
      </c>
      <c r="I32" s="11">
        <f t="shared" si="5"/>
        <v>217909.4091212796</v>
      </c>
      <c r="K32" s="6">
        <v>10</v>
      </c>
      <c r="L32" s="13">
        <f t="shared" si="6"/>
        <v>41250</v>
      </c>
      <c r="M32" s="11">
        <f t="shared" si="7"/>
        <v>21385.43495710742</v>
      </c>
      <c r="N32" s="11">
        <f t="shared" si="8"/>
        <v>213854.34957107418</v>
      </c>
    </row>
    <row r="33" spans="1:14" x14ac:dyDescent="0.3">
      <c r="A33" s="6">
        <v>11</v>
      </c>
      <c r="B33" s="11">
        <f t="shared" si="0"/>
        <v>33125</v>
      </c>
      <c r="C33" s="11">
        <f t="shared" si="1"/>
        <v>16264.578380851221</v>
      </c>
      <c r="D33" s="11">
        <f t="shared" si="2"/>
        <v>178910.36218936343</v>
      </c>
      <c r="F33" s="6">
        <v>11</v>
      </c>
      <c r="G33" s="13">
        <f t="shared" si="3"/>
        <v>41875</v>
      </c>
      <c r="H33" s="11">
        <f t="shared" si="4"/>
        <v>20413.059402461793</v>
      </c>
      <c r="I33" s="11">
        <f t="shared" si="5"/>
        <v>224543.65342707973</v>
      </c>
      <c r="K33" s="6">
        <v>11</v>
      </c>
      <c r="L33" s="13">
        <f t="shared" si="6"/>
        <v>41250</v>
      </c>
      <c r="M33" s="11">
        <f t="shared" si="7"/>
        <v>20025.690567569454</v>
      </c>
      <c r="N33" s="11">
        <f t="shared" si="8"/>
        <v>220282.59624326401</v>
      </c>
    </row>
    <row r="34" spans="1:14" x14ac:dyDescent="0.3">
      <c r="A34" s="6">
        <v>12</v>
      </c>
      <c r="B34" s="11">
        <f t="shared" si="0"/>
        <v>33125</v>
      </c>
      <c r="C34" s="11">
        <f t="shared" si="1"/>
        <v>15246.136464989895</v>
      </c>
      <c r="D34" s="11">
        <f t="shared" si="2"/>
        <v>182953.63757987873</v>
      </c>
      <c r="F34" s="6">
        <v>12</v>
      </c>
      <c r="G34" s="13">
        <f t="shared" si="3"/>
        <v>41875</v>
      </c>
      <c r="H34" s="11">
        <f t="shared" si="4"/>
        <v>19122.303889893952</v>
      </c>
      <c r="I34" s="11">
        <f t="shared" si="5"/>
        <v>229467.64667872741</v>
      </c>
      <c r="K34" s="6">
        <v>12</v>
      </c>
      <c r="L34" s="13">
        <f t="shared" si="6"/>
        <v>41250</v>
      </c>
      <c r="M34" s="11">
        <f t="shared" si="7"/>
        <v>18752.402441773062</v>
      </c>
      <c r="N34" s="11">
        <f t="shared" si="8"/>
        <v>225028.82930127674</v>
      </c>
    </row>
    <row r="35" spans="1:14" x14ac:dyDescent="0.3">
      <c r="A35" s="6">
        <v>13</v>
      </c>
      <c r="B35" s="11">
        <f t="shared" si="0"/>
        <v>33125</v>
      </c>
      <c r="C35" s="11">
        <f t="shared" si="1"/>
        <v>14291.466502615202</v>
      </c>
      <c r="D35" s="11">
        <f t="shared" si="2"/>
        <v>185789.06453399762</v>
      </c>
      <c r="F35" s="6">
        <v>13</v>
      </c>
      <c r="G35" s="13">
        <f t="shared" si="3"/>
        <v>41875</v>
      </c>
      <c r="H35" s="11">
        <f t="shared" si="4"/>
        <v>17913.165236434616</v>
      </c>
      <c r="I35" s="11">
        <f t="shared" si="5"/>
        <v>232871.14807364999</v>
      </c>
      <c r="K35" s="6">
        <v>13</v>
      </c>
      <c r="L35" s="13">
        <f t="shared" si="6"/>
        <v>41250</v>
      </c>
      <c r="M35" s="11">
        <f t="shared" si="7"/>
        <v>17560.073454230791</v>
      </c>
      <c r="N35" s="11">
        <f t="shared" si="8"/>
        <v>228280.95490500028</v>
      </c>
    </row>
    <row r="36" spans="1:14" x14ac:dyDescent="0.3">
      <c r="A36" s="6">
        <v>14</v>
      </c>
      <c r="B36" s="11">
        <f>$B$16+B8</f>
        <v>1033125</v>
      </c>
      <c r="C36" s="11">
        <f t="shared" si="1"/>
        <v>417821.48921519704</v>
      </c>
      <c r="D36" s="11">
        <f t="shared" si="2"/>
        <v>5849500.8490127586</v>
      </c>
      <c r="F36" s="6">
        <v>14</v>
      </c>
      <c r="G36" s="13">
        <f t="shared" si="3"/>
        <v>41875</v>
      </c>
      <c r="H36" s="11">
        <f t="shared" si="4"/>
        <v>16780.482657081608</v>
      </c>
      <c r="I36" s="11">
        <f t="shared" si="5"/>
        <v>234926.75719914251</v>
      </c>
      <c r="K36" s="6">
        <v>14</v>
      </c>
      <c r="L36" s="13">
        <f t="shared" si="6"/>
        <v>41250</v>
      </c>
      <c r="M36" s="11">
        <f t="shared" si="7"/>
        <v>16443.55600171438</v>
      </c>
      <c r="N36" s="11">
        <f t="shared" si="8"/>
        <v>230209.78402400133</v>
      </c>
    </row>
    <row r="37" spans="1:14" x14ac:dyDescent="0.3">
      <c r="B37" s="2"/>
      <c r="C37" s="2">
        <f>SUM(C23:C36)</f>
        <v>699760.61342754425</v>
      </c>
      <c r="D37" s="2">
        <f>SUM(D23:D36)</f>
        <v>7570812.1240986045</v>
      </c>
      <c r="F37" s="6">
        <v>15</v>
      </c>
      <c r="G37" s="13">
        <f t="shared" si="3"/>
        <v>41875</v>
      </c>
      <c r="H37" s="11">
        <f t="shared" si="4"/>
        <v>15719.421692816499</v>
      </c>
      <c r="I37" s="11">
        <f t="shared" si="5"/>
        <v>235791.32539224747</v>
      </c>
      <c r="K37" s="6">
        <v>15</v>
      </c>
      <c r="L37" s="13">
        <f t="shared" si="6"/>
        <v>41250</v>
      </c>
      <c r="M37" s="11">
        <f t="shared" si="7"/>
        <v>15398.029779674485</v>
      </c>
      <c r="N37" s="11">
        <f t="shared" si="8"/>
        <v>230970.44669511728</v>
      </c>
    </row>
    <row r="38" spans="1:14" x14ac:dyDescent="0.3">
      <c r="B38" s="2"/>
      <c r="C38" s="95" t="s">
        <v>24</v>
      </c>
      <c r="D38">
        <f>D37/C37</f>
        <v>10.819145831908862</v>
      </c>
      <c r="F38" s="6">
        <v>15.6</v>
      </c>
      <c r="G38" s="13">
        <f>$G$16+C8</f>
        <v>1041875</v>
      </c>
      <c r="H38" s="11">
        <f t="shared" si="4"/>
        <v>376076.87678408582</v>
      </c>
      <c r="I38" s="11">
        <f t="shared" si="5"/>
        <v>5866799.2778317388</v>
      </c>
      <c r="K38" s="6">
        <v>16</v>
      </c>
      <c r="L38" s="13">
        <f t="shared" si="6"/>
        <v>41250</v>
      </c>
      <c r="M38" s="11">
        <f t="shared" si="7"/>
        <v>14418.980971696305</v>
      </c>
      <c r="N38" s="11">
        <f t="shared" si="8"/>
        <v>230703.69554714087</v>
      </c>
    </row>
    <row r="39" spans="1:14" x14ac:dyDescent="0.3">
      <c r="C39" s="95"/>
      <c r="D39">
        <f>D38/2</f>
        <v>5.4095729159544312</v>
      </c>
      <c r="H39" s="2">
        <f>SUM(H23:H38)</f>
        <v>763566.9257793976</v>
      </c>
      <c r="I39" s="2">
        <f>SUM(I23:I38)</f>
        <v>8501677.824650228</v>
      </c>
      <c r="K39" s="6">
        <v>17</v>
      </c>
      <c r="L39" s="13">
        <f t="shared" si="6"/>
        <v>41250</v>
      </c>
      <c r="M39" s="11">
        <f t="shared" si="7"/>
        <v>13502.182762146555</v>
      </c>
      <c r="N39" s="11">
        <f t="shared" si="8"/>
        <v>229537.10695649142</v>
      </c>
    </row>
    <row r="40" spans="1:14" x14ac:dyDescent="0.3">
      <c r="C40" s="96"/>
      <c r="I40">
        <f>I39/H39</f>
        <v>11.134161967495238</v>
      </c>
      <c r="K40" s="6">
        <v>18</v>
      </c>
      <c r="L40" s="13">
        <f t="shared" si="6"/>
        <v>41250</v>
      </c>
      <c r="M40" s="11">
        <f t="shared" si="7"/>
        <v>12643.677087879532</v>
      </c>
      <c r="N40" s="11">
        <f t="shared" si="8"/>
        <v>227586.18758183159</v>
      </c>
    </row>
    <row r="41" spans="1:14" x14ac:dyDescent="0.3">
      <c r="C41" s="96"/>
      <c r="I41">
        <f>I40/2</f>
        <v>5.5670809837476192</v>
      </c>
      <c r="K41" s="6">
        <v>19</v>
      </c>
      <c r="L41" s="13">
        <f t="shared" si="6"/>
        <v>41250</v>
      </c>
      <c r="M41" s="11">
        <f t="shared" si="7"/>
        <v>11839.75755021962</v>
      </c>
      <c r="N41" s="11">
        <f t="shared" si="8"/>
        <v>224955.39345417276</v>
      </c>
    </row>
    <row r="42" spans="1:14" x14ac:dyDescent="0.3">
      <c r="K42" s="6">
        <v>20</v>
      </c>
      <c r="L42" s="13">
        <f>$L$16+D8</f>
        <v>1041250</v>
      </c>
      <c r="M42" s="11">
        <f t="shared" si="7"/>
        <v>279861.58161821251</v>
      </c>
      <c r="N42" s="11">
        <f t="shared" si="8"/>
        <v>5597231.6323642507</v>
      </c>
    </row>
    <row r="43" spans="1:14" x14ac:dyDescent="0.3">
      <c r="M43" s="2">
        <f>SUM(M23:M42)</f>
        <v>713002.11843382893</v>
      </c>
      <c r="N43" s="2">
        <f>SUM(N23:N42)</f>
        <v>9096427.299687136</v>
      </c>
    </row>
    <row r="44" spans="1:14" x14ac:dyDescent="0.3">
      <c r="N44">
        <f>N43/M43</f>
        <v>12.757924646378651</v>
      </c>
    </row>
    <row r="45" spans="1:14" x14ac:dyDescent="0.3">
      <c r="A45" t="s">
        <v>25</v>
      </c>
      <c r="N45">
        <f>N44/2</f>
        <v>6.3789623231893255</v>
      </c>
    </row>
    <row r="47" spans="1:14" x14ac:dyDescent="0.3">
      <c r="A47" s="6" t="s">
        <v>0</v>
      </c>
      <c r="B47" s="6" t="s">
        <v>26</v>
      </c>
      <c r="C47" s="6" t="s">
        <v>27</v>
      </c>
      <c r="D47" s="6" t="s">
        <v>28</v>
      </c>
      <c r="E47" s="6" t="s">
        <v>22</v>
      </c>
    </row>
    <row r="48" spans="1:14" x14ac:dyDescent="0.3">
      <c r="A48" s="6" t="s">
        <v>29</v>
      </c>
      <c r="B48" s="6">
        <v>6</v>
      </c>
      <c r="C48" s="14">
        <f>1-D48</f>
        <v>-2.7485513746560235</v>
      </c>
      <c r="D48" s="14">
        <f>(D39-B48)/(D39-I41)</f>
        <v>3.7485513746560235</v>
      </c>
      <c r="E48" s="15">
        <f>C48+D48</f>
        <v>1</v>
      </c>
    </row>
    <row r="49" spans="1:5" x14ac:dyDescent="0.3">
      <c r="A49" s="6" t="s">
        <v>30</v>
      </c>
      <c r="B49" s="6">
        <v>6</v>
      </c>
      <c r="C49" s="14">
        <f>1-D49</f>
        <v>0.39092888818569338</v>
      </c>
      <c r="D49" s="14">
        <f>(D39-B49)/(D39-N45)</f>
        <v>0.60907111181430662</v>
      </c>
      <c r="E49" s="15">
        <f t="shared" ref="E49:E50" si="9">C49+D49</f>
        <v>1</v>
      </c>
    </row>
    <row r="50" spans="1:5" x14ac:dyDescent="0.3">
      <c r="A50" s="6" t="s">
        <v>31</v>
      </c>
      <c r="B50" s="6">
        <v>6</v>
      </c>
      <c r="C50" s="14">
        <f>1-D50</f>
        <v>0.46677057936806454</v>
      </c>
      <c r="D50" s="14">
        <f>(I41-B50)/(I41-N45)</f>
        <v>0.53322942063193546</v>
      </c>
      <c r="E50" s="15">
        <f t="shared" si="9"/>
        <v>1</v>
      </c>
    </row>
    <row r="52" spans="1:5" x14ac:dyDescent="0.3">
      <c r="A52" t="s">
        <v>32</v>
      </c>
    </row>
    <row r="54" spans="1:5" x14ac:dyDescent="0.3">
      <c r="A54" s="6" t="s">
        <v>33</v>
      </c>
      <c r="B54" s="11">
        <v>200000000</v>
      </c>
    </row>
    <row r="55" spans="1:5" x14ac:dyDescent="0.3">
      <c r="A55" s="6" t="s">
        <v>34</v>
      </c>
      <c r="B55" s="6">
        <v>8</v>
      </c>
    </row>
    <row r="56" spans="1:5" x14ac:dyDescent="0.3">
      <c r="A56" s="6" t="s">
        <v>35</v>
      </c>
      <c r="B56" s="8">
        <f>B11</f>
        <v>6.6799999999999998E-2</v>
      </c>
    </row>
    <row r="57" spans="1:5" x14ac:dyDescent="0.3">
      <c r="A57" s="6" t="s">
        <v>36</v>
      </c>
      <c r="B57" s="8">
        <f>C11</f>
        <v>6.7500000000000004E-2</v>
      </c>
    </row>
    <row r="58" spans="1:5" x14ac:dyDescent="0.3">
      <c r="A58" s="6" t="s">
        <v>37</v>
      </c>
      <c r="B58" s="8">
        <f>D11</f>
        <v>6.7900000000000002E-2</v>
      </c>
    </row>
    <row r="60" spans="1:5" x14ac:dyDescent="0.3">
      <c r="A60" t="s">
        <v>38</v>
      </c>
    </row>
    <row r="61" spans="1:5" x14ac:dyDescent="0.3">
      <c r="A61" s="6" t="s">
        <v>39</v>
      </c>
      <c r="B61" s="6" t="s">
        <v>40</v>
      </c>
      <c r="C61" s="6" t="s">
        <v>41</v>
      </c>
      <c r="D61" s="6" t="s">
        <v>22</v>
      </c>
    </row>
    <row r="62" spans="1:5" x14ac:dyDescent="0.3">
      <c r="A62" s="6" t="s">
        <v>29</v>
      </c>
      <c r="B62" s="11">
        <f>C48*$B$54</f>
        <v>-549710274.93120468</v>
      </c>
      <c r="C62" s="11">
        <f>D48*$B$54</f>
        <v>749710274.93120468</v>
      </c>
      <c r="D62" s="11">
        <f>SUM(B62:C62)</f>
        <v>200000000</v>
      </c>
    </row>
    <row r="63" spans="1:5" x14ac:dyDescent="0.3">
      <c r="A63" s="6" t="s">
        <v>30</v>
      </c>
      <c r="B63" s="11">
        <f t="shared" ref="B63:C64" si="10">C49*$B$54</f>
        <v>78185777.63713868</v>
      </c>
      <c r="C63" s="11">
        <f t="shared" si="10"/>
        <v>121814222.36286132</v>
      </c>
      <c r="D63" s="11">
        <f t="shared" ref="D63:D64" si="11">SUM(B63:C63)</f>
        <v>200000000</v>
      </c>
    </row>
    <row r="64" spans="1:5" x14ac:dyDescent="0.3">
      <c r="A64" s="6" t="s">
        <v>31</v>
      </c>
      <c r="B64" s="11">
        <f t="shared" si="10"/>
        <v>93354115.873612911</v>
      </c>
      <c r="C64" s="11">
        <f t="shared" si="10"/>
        <v>106645884.12638709</v>
      </c>
      <c r="D64" s="11">
        <f t="shared" si="11"/>
        <v>200000000</v>
      </c>
    </row>
    <row r="67" spans="1:5" x14ac:dyDescent="0.3">
      <c r="A67" t="s">
        <v>42</v>
      </c>
    </row>
    <row r="68" spans="1:5" x14ac:dyDescent="0.3">
      <c r="A68" s="6" t="s">
        <v>43</v>
      </c>
      <c r="B68" s="6" t="s">
        <v>40</v>
      </c>
      <c r="C68" s="6" t="s">
        <v>41</v>
      </c>
      <c r="D68" s="6" t="s">
        <v>22</v>
      </c>
    </row>
    <row r="69" spans="1:5" x14ac:dyDescent="0.3">
      <c r="A69" s="6" t="s">
        <v>29</v>
      </c>
      <c r="B69" s="11">
        <f>B62/(1+B56/2)^($B$55*2)</f>
        <v>-324966459.88339943</v>
      </c>
      <c r="C69" s="11">
        <f>C62/(1+B57/2)^($B$55*2)</f>
        <v>440803568.85229039</v>
      </c>
      <c r="D69" s="11">
        <f>SUM(B69:C69)</f>
        <v>115837108.96889096</v>
      </c>
    </row>
    <row r="70" spans="1:5" x14ac:dyDescent="0.3">
      <c r="A70" s="6" t="s">
        <v>30</v>
      </c>
      <c r="B70" s="11">
        <f>B63/(1+B56/2)^($B$55*2)</f>
        <v>46220266.439719275</v>
      </c>
      <c r="C70" s="11">
        <f>C63/(1+B58/2)^($B$55*2)</f>
        <v>71401181.179916054</v>
      </c>
      <c r="D70" s="11">
        <f t="shared" ref="D70:D71" si="12">SUM(B70:C70)</f>
        <v>117621447.61963533</v>
      </c>
    </row>
    <row r="71" spans="1:5" x14ac:dyDescent="0.3">
      <c r="A71" s="6" t="s">
        <v>31</v>
      </c>
      <c r="B71" s="11">
        <f>B64/(1+B57/2)^($B$55*2)</f>
        <v>54888973.541032135</v>
      </c>
      <c r="C71" s="11">
        <f>C64/(1+B58/2)^($B$55*2)</f>
        <v>62510287.771800019</v>
      </c>
      <c r="D71" s="11">
        <f t="shared" si="12"/>
        <v>117399261.31283215</v>
      </c>
    </row>
    <row r="74" spans="1:5" x14ac:dyDescent="0.3">
      <c r="A74" t="s">
        <v>44</v>
      </c>
    </row>
    <row r="76" spans="1:5" x14ac:dyDescent="0.3">
      <c r="A76" t="s">
        <v>29</v>
      </c>
      <c r="B76" t="s">
        <v>27</v>
      </c>
      <c r="C76" s="3">
        <f>C48</f>
        <v>-2.7485513746560235</v>
      </c>
      <c r="D76" s="2">
        <f>C76*D69</f>
        <v>-318384245.09262484</v>
      </c>
      <c r="E76" s="95">
        <f>SUM(D76:D77)</f>
        <v>-318384245.09262484</v>
      </c>
    </row>
    <row r="77" spans="1:5" x14ac:dyDescent="0.3">
      <c r="B77" t="s">
        <v>28</v>
      </c>
      <c r="C77" s="3">
        <f>D48</f>
        <v>3.7485513746560235</v>
      </c>
      <c r="D77" s="2" t="s">
        <v>45</v>
      </c>
      <c r="E77" s="96"/>
    </row>
    <row r="79" spans="1:5" x14ac:dyDescent="0.3">
      <c r="A79" t="s">
        <v>30</v>
      </c>
      <c r="B79" t="s">
        <v>27</v>
      </c>
      <c r="C79" s="3">
        <f>C49</f>
        <v>0.39092888818569338</v>
      </c>
      <c r="D79" s="2">
        <f>C79*D70</f>
        <v>45981621.744735807</v>
      </c>
      <c r="E79" s="95">
        <f>SUM(D79:D80)</f>
        <v>117621447.61963533</v>
      </c>
    </row>
    <row r="80" spans="1:5" x14ac:dyDescent="0.3">
      <c r="B80" t="s">
        <v>28</v>
      </c>
      <c r="C80" s="3">
        <f>D49</f>
        <v>0.60907111181430662</v>
      </c>
      <c r="D80" s="2">
        <f>C80*D70</f>
        <v>71639825.874899521</v>
      </c>
      <c r="E80" s="96"/>
    </row>
    <row r="82" spans="1:7" x14ac:dyDescent="0.3">
      <c r="A82" t="s">
        <v>31</v>
      </c>
      <c r="B82" t="s">
        <v>27</v>
      </c>
      <c r="C82" s="3">
        <f>C50</f>
        <v>0.46677057936806454</v>
      </c>
      <c r="D82" s="2">
        <f>C82*D71</f>
        <v>54798521.220373467</v>
      </c>
      <c r="E82" s="95">
        <f>SUM(D82:D83)</f>
        <v>117399261.31283215</v>
      </c>
    </row>
    <row r="83" spans="1:7" x14ac:dyDescent="0.3">
      <c r="B83" t="s">
        <v>28</v>
      </c>
      <c r="C83" s="3">
        <f>D50</f>
        <v>0.53322942063193546</v>
      </c>
      <c r="D83" s="2">
        <f>C83*D71</f>
        <v>62600740.09245868</v>
      </c>
      <c r="E83" s="96"/>
    </row>
    <row r="86" spans="1:7" x14ac:dyDescent="0.3">
      <c r="A86" t="s">
        <v>46</v>
      </c>
    </row>
    <row r="89" spans="1:7" x14ac:dyDescent="0.3">
      <c r="A89" t="s">
        <v>29</v>
      </c>
      <c r="B89" t="s">
        <v>1</v>
      </c>
      <c r="C89" s="1">
        <f>B5</f>
        <v>0.98350000000000004</v>
      </c>
      <c r="D89" s="4">
        <v>1000000</v>
      </c>
      <c r="E89" s="5">
        <f>C89*D89</f>
        <v>983500</v>
      </c>
      <c r="F89">
        <f>D76/E89</f>
        <v>-323.72571946377718</v>
      </c>
    </row>
    <row r="90" spans="1:7" x14ac:dyDescent="0.3">
      <c r="B90" t="s">
        <v>2</v>
      </c>
      <c r="C90" s="1">
        <f>C5</f>
        <v>1.085</v>
      </c>
      <c r="D90" s="4">
        <v>1000000</v>
      </c>
      <c r="E90" s="5">
        <f>C90*D90</f>
        <v>1085000</v>
      </c>
      <c r="F90">
        <f>D76/E90</f>
        <v>-293.44170054619804</v>
      </c>
      <c r="G90" t="s">
        <v>47</v>
      </c>
    </row>
    <row r="92" spans="1:7" x14ac:dyDescent="0.3">
      <c r="A92" t="s">
        <v>30</v>
      </c>
      <c r="B92" t="s">
        <v>1</v>
      </c>
      <c r="C92" s="1">
        <f>B5</f>
        <v>0.98350000000000004</v>
      </c>
      <c r="D92" s="4">
        <v>1000000</v>
      </c>
      <c r="E92" s="5">
        <f>C92*D92</f>
        <v>983500</v>
      </c>
      <c r="F92">
        <f>D79/E92</f>
        <v>46.753047020575302</v>
      </c>
      <c r="G92" t="s">
        <v>48</v>
      </c>
    </row>
    <row r="93" spans="1:7" x14ac:dyDescent="0.3">
      <c r="B93" t="s">
        <v>2</v>
      </c>
      <c r="C93" s="1">
        <f>D5</f>
        <v>1.091</v>
      </c>
      <c r="D93" s="4">
        <v>1000000</v>
      </c>
      <c r="E93" s="5">
        <f>C93*D93</f>
        <v>1091000</v>
      </c>
      <c r="F93">
        <f>D80/E93</f>
        <v>65.664368354628337</v>
      </c>
      <c r="G93" t="s">
        <v>49</v>
      </c>
    </row>
    <row r="95" spans="1:7" x14ac:dyDescent="0.3">
      <c r="A95" t="s">
        <v>31</v>
      </c>
      <c r="B95" t="s">
        <v>2</v>
      </c>
      <c r="C95" s="1">
        <f>C5</f>
        <v>1.085</v>
      </c>
      <c r="D95" s="4">
        <v>1000000</v>
      </c>
      <c r="E95" s="5">
        <f>C95*D95</f>
        <v>1085000</v>
      </c>
      <c r="F95">
        <f>D82/E95</f>
        <v>50.505549511864949</v>
      </c>
      <c r="G95" t="s">
        <v>50</v>
      </c>
    </row>
    <row r="96" spans="1:7" x14ac:dyDescent="0.3">
      <c r="B96" t="s">
        <v>3</v>
      </c>
      <c r="C96" s="1">
        <f>D5</f>
        <v>1.091</v>
      </c>
      <c r="D96" s="4">
        <v>1000000</v>
      </c>
      <c r="E96" s="5">
        <f>C96*D96</f>
        <v>1091000</v>
      </c>
      <c r="F96">
        <f>D83/E96</f>
        <v>57.37923014890805</v>
      </c>
      <c r="G96" t="s">
        <v>51</v>
      </c>
    </row>
  </sheetData>
  <mergeCells count="8">
    <mergeCell ref="E82:E83"/>
    <mergeCell ref="A14:B14"/>
    <mergeCell ref="F14:G14"/>
    <mergeCell ref="K14:L14"/>
    <mergeCell ref="C40:C41"/>
    <mergeCell ref="C38:C39"/>
    <mergeCell ref="E76:E77"/>
    <mergeCell ref="E79:E8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A3F2C-2A24-471B-A00C-821C84F2E6D9}">
  <dimension ref="A1:V127"/>
  <sheetViews>
    <sheetView topLeftCell="A41" zoomScale="107" workbookViewId="0">
      <selection activeCell="B55" sqref="B55"/>
    </sheetView>
  </sheetViews>
  <sheetFormatPr defaultRowHeight="15" customHeight="1" x14ac:dyDescent="0.3"/>
  <cols>
    <col min="1" max="1" width="17.5546875" customWidth="1"/>
    <col min="2" max="3" width="20.44140625" bestFit="1" customWidth="1"/>
    <col min="4" max="4" width="17.88671875" bestFit="1" customWidth="1"/>
    <col min="5" max="5" width="18.33203125" bestFit="1" customWidth="1"/>
    <col min="6" max="6" width="8.109375" customWidth="1"/>
    <col min="7" max="7" width="35.44140625" customWidth="1"/>
    <col min="8" max="8" width="17.109375" bestFit="1" customWidth="1"/>
    <col min="9" max="9" width="14.5546875" bestFit="1" customWidth="1"/>
    <col min="10" max="10" width="16.109375" bestFit="1" customWidth="1"/>
    <col min="13" max="13" width="19.5546875" bestFit="1" customWidth="1"/>
    <col min="14" max="14" width="17" bestFit="1" customWidth="1"/>
    <col min="15" max="15" width="15.44140625" bestFit="1" customWidth="1"/>
    <col min="16" max="16" width="17" bestFit="1" customWidth="1"/>
    <col min="19" max="19" width="19" bestFit="1" customWidth="1"/>
    <col min="20" max="20" width="17" bestFit="1" customWidth="1"/>
    <col min="21" max="21" width="14.33203125" bestFit="1" customWidth="1"/>
    <col min="22" max="22" width="17" bestFit="1" customWidth="1"/>
  </cols>
  <sheetData>
    <row r="1" spans="1:20" ht="14.4" x14ac:dyDescent="0.3">
      <c r="A1" s="48" t="s">
        <v>0</v>
      </c>
      <c r="B1" s="48" t="s">
        <v>52</v>
      </c>
      <c r="C1" s="48" t="s">
        <v>3</v>
      </c>
      <c r="D1" s="49" t="s">
        <v>53</v>
      </c>
      <c r="E1" s="50" t="s">
        <v>54</v>
      </c>
    </row>
    <row r="2" spans="1:20" ht="14.4" x14ac:dyDescent="0.3">
      <c r="A2" s="34" t="s">
        <v>4</v>
      </c>
      <c r="B2" s="35">
        <v>6.1249999999999999E-2</v>
      </c>
      <c r="C2" s="35">
        <v>8.2500000000000004E-2</v>
      </c>
      <c r="D2" s="36">
        <v>7.1249999999999994E-2</v>
      </c>
      <c r="E2" s="37">
        <v>7.3749999999999996E-2</v>
      </c>
    </row>
    <row r="3" spans="1:20" ht="14.4" x14ac:dyDescent="0.3">
      <c r="A3" s="34" t="s">
        <v>5</v>
      </c>
      <c r="B3" s="34">
        <v>2</v>
      </c>
      <c r="C3" s="34">
        <v>2</v>
      </c>
      <c r="D3" s="38">
        <v>2</v>
      </c>
      <c r="E3" s="39">
        <v>2</v>
      </c>
    </row>
    <row r="4" spans="1:20" ht="14.4" x14ac:dyDescent="0.3">
      <c r="A4" s="34" t="s">
        <v>6</v>
      </c>
      <c r="B4" s="40">
        <v>7.1099999999999997E-2</v>
      </c>
      <c r="C4" s="40">
        <v>6.9699999999999998E-2</v>
      </c>
      <c r="D4" s="41">
        <v>6.9699999999999998E-2</v>
      </c>
      <c r="E4" s="37">
        <v>7.0599999999999996E-2</v>
      </c>
    </row>
    <row r="5" spans="1:20" ht="14.4" x14ac:dyDescent="0.3">
      <c r="A5" s="34" t="s">
        <v>7</v>
      </c>
      <c r="B5" s="40">
        <v>0.98199999999999998</v>
      </c>
      <c r="C5" s="40">
        <v>1.091</v>
      </c>
      <c r="D5" s="41">
        <v>1.0209999999999999</v>
      </c>
      <c r="E5" s="37">
        <v>0.97750000000000004</v>
      </c>
    </row>
    <row r="6" spans="1:20" ht="14.4" x14ac:dyDescent="0.3">
      <c r="A6" s="34" t="s">
        <v>8</v>
      </c>
      <c r="B6" s="42">
        <v>41134</v>
      </c>
      <c r="C6" s="42">
        <v>42194</v>
      </c>
      <c r="D6" s="43">
        <v>44792</v>
      </c>
      <c r="E6" s="44">
        <v>45296</v>
      </c>
    </row>
    <row r="7" spans="1:20" ht="14.4" x14ac:dyDescent="0.3">
      <c r="A7" s="34" t="s">
        <v>9</v>
      </c>
      <c r="B7" s="42">
        <v>46888</v>
      </c>
      <c r="C7" s="42">
        <v>49810</v>
      </c>
      <c r="D7" s="43">
        <v>52397</v>
      </c>
      <c r="E7" s="44">
        <v>56445</v>
      </c>
    </row>
    <row r="8" spans="1:20" ht="14.4" x14ac:dyDescent="0.3">
      <c r="A8" s="34" t="s">
        <v>10</v>
      </c>
      <c r="B8" s="45">
        <v>1000000</v>
      </c>
      <c r="C8" s="45">
        <v>1000000</v>
      </c>
      <c r="D8" s="46">
        <v>1000000</v>
      </c>
      <c r="E8" s="47">
        <v>1000000</v>
      </c>
    </row>
    <row r="9" spans="1:20" ht="14.4" x14ac:dyDescent="0.3">
      <c r="A9" s="34" t="s">
        <v>11</v>
      </c>
      <c r="B9" s="34">
        <v>2</v>
      </c>
      <c r="C9" s="34">
        <v>10</v>
      </c>
      <c r="D9" s="38">
        <v>17.100000000000001</v>
      </c>
      <c r="E9" s="39">
        <v>28.2</v>
      </c>
    </row>
    <row r="10" spans="1:20" ht="14.4" x14ac:dyDescent="0.3">
      <c r="A10" s="34" t="s">
        <v>12</v>
      </c>
      <c r="B10" s="45">
        <f>B8*B5</f>
        <v>982000</v>
      </c>
      <c r="C10" s="45">
        <f>C8*C5</f>
        <v>1091000</v>
      </c>
      <c r="D10" s="46">
        <v>1021000</v>
      </c>
      <c r="E10" s="47">
        <v>977500</v>
      </c>
    </row>
    <row r="11" spans="1:20" ht="14.4" x14ac:dyDescent="0.3">
      <c r="A11" s="34" t="s">
        <v>13</v>
      </c>
      <c r="B11" s="40">
        <v>6.2600000000000003E-2</v>
      </c>
      <c r="C11" s="40">
        <v>6.7900000000000002E-2</v>
      </c>
      <c r="D11" s="41">
        <v>6.9099999999999995E-2</v>
      </c>
      <c r="E11" s="37">
        <v>6.9199999999999998E-2</v>
      </c>
    </row>
    <row r="13" spans="1:20" ht="14.4" x14ac:dyDescent="0.3"/>
    <row r="14" spans="1:20" ht="14.4" customHeight="1" x14ac:dyDescent="0.3">
      <c r="A14" s="86" t="s">
        <v>1</v>
      </c>
      <c r="B14" s="86"/>
      <c r="G14" s="87" t="s">
        <v>3</v>
      </c>
      <c r="H14" s="87"/>
      <c r="M14" s="87" t="s">
        <v>53</v>
      </c>
      <c r="N14" s="87"/>
      <c r="S14" s="87" t="s">
        <v>54</v>
      </c>
      <c r="T14" s="87"/>
    </row>
    <row r="15" spans="1:20" ht="14.4" x14ac:dyDescent="0.3">
      <c r="A15" s="52" t="s">
        <v>14</v>
      </c>
      <c r="B15" s="11">
        <f>B2*B8</f>
        <v>61250</v>
      </c>
      <c r="G15" s="6" t="s">
        <v>14</v>
      </c>
      <c r="H15" s="13">
        <f>C8*C2</f>
        <v>82500</v>
      </c>
      <c r="M15" s="6" t="s">
        <v>14</v>
      </c>
      <c r="N15" s="13">
        <f>D2*D8</f>
        <v>71250</v>
      </c>
      <c r="S15" s="6" t="s">
        <v>14</v>
      </c>
      <c r="T15" s="13">
        <f>E2*E8</f>
        <v>73750</v>
      </c>
    </row>
    <row r="16" spans="1:20" ht="14.4" x14ac:dyDescent="0.3">
      <c r="A16" s="52" t="s">
        <v>15</v>
      </c>
      <c r="B16" s="11">
        <f>B15/2</f>
        <v>30625</v>
      </c>
      <c r="G16" s="6" t="s">
        <v>15</v>
      </c>
      <c r="H16" s="13">
        <f>H15/2</f>
        <v>41250</v>
      </c>
      <c r="M16" s="6" t="s">
        <v>15</v>
      </c>
      <c r="N16" s="13">
        <f>N15/2</f>
        <v>35625</v>
      </c>
      <c r="S16" s="6" t="s">
        <v>15</v>
      </c>
      <c r="T16" s="13">
        <f>T15/2</f>
        <v>36875</v>
      </c>
    </row>
    <row r="17" spans="1:22" ht="14.4" x14ac:dyDescent="0.3">
      <c r="A17" s="52" t="s">
        <v>16</v>
      </c>
      <c r="B17" s="8">
        <f>B11</f>
        <v>6.2600000000000003E-2</v>
      </c>
      <c r="G17" s="6" t="s">
        <v>16</v>
      </c>
      <c r="H17" s="8">
        <f>C11</f>
        <v>6.7900000000000002E-2</v>
      </c>
      <c r="M17" s="6" t="s">
        <v>16</v>
      </c>
      <c r="N17" s="8">
        <f>D11</f>
        <v>6.9099999999999995E-2</v>
      </c>
      <c r="S17" s="6" t="s">
        <v>16</v>
      </c>
      <c r="T17" s="8">
        <f>E11</f>
        <v>6.9199999999999998E-2</v>
      </c>
    </row>
    <row r="18" spans="1:22" ht="14.4" x14ac:dyDescent="0.3">
      <c r="A18" s="52" t="s">
        <v>17</v>
      </c>
      <c r="B18" s="6">
        <f>B9</f>
        <v>2</v>
      </c>
      <c r="G18" s="6" t="s">
        <v>17</v>
      </c>
      <c r="H18" s="6">
        <f>C9</f>
        <v>10</v>
      </c>
      <c r="M18" s="6" t="s">
        <v>17</v>
      </c>
      <c r="N18" s="6">
        <f>D9</f>
        <v>17.100000000000001</v>
      </c>
      <c r="S18" s="6" t="s">
        <v>17</v>
      </c>
      <c r="T18" s="6">
        <f>E9</f>
        <v>28.2</v>
      </c>
    </row>
    <row r="19" spans="1:22" ht="14.4" x14ac:dyDescent="0.3">
      <c r="A19" s="52" t="s">
        <v>18</v>
      </c>
      <c r="B19" s="6">
        <f>B18*2</f>
        <v>4</v>
      </c>
      <c r="G19" s="6" t="s">
        <v>18</v>
      </c>
      <c r="H19" s="6">
        <f>H18*2</f>
        <v>20</v>
      </c>
      <c r="M19" s="6" t="s">
        <v>18</v>
      </c>
      <c r="N19" s="6">
        <f>N18*2</f>
        <v>34.200000000000003</v>
      </c>
      <c r="S19" s="6" t="s">
        <v>18</v>
      </c>
      <c r="T19" s="6">
        <f>T18*2</f>
        <v>56.4</v>
      </c>
    </row>
    <row r="22" spans="1:22" ht="14.4" x14ac:dyDescent="0.3">
      <c r="A22" s="6" t="s">
        <v>19</v>
      </c>
      <c r="B22" s="6" t="s">
        <v>20</v>
      </c>
      <c r="C22" s="6" t="s">
        <v>21</v>
      </c>
      <c r="D22" s="6" t="s">
        <v>22</v>
      </c>
      <c r="G22" s="6" t="s">
        <v>19</v>
      </c>
      <c r="H22" s="6" t="s">
        <v>20</v>
      </c>
      <c r="I22" s="6" t="s">
        <v>21</v>
      </c>
      <c r="J22" s="6" t="s">
        <v>22</v>
      </c>
      <c r="M22" s="19" t="s">
        <v>19</v>
      </c>
      <c r="N22" s="19" t="s">
        <v>20</v>
      </c>
      <c r="O22" s="19" t="s">
        <v>21</v>
      </c>
      <c r="P22" s="19" t="s">
        <v>22</v>
      </c>
      <c r="S22" s="19" t="s">
        <v>19</v>
      </c>
      <c r="T22" s="19" t="s">
        <v>20</v>
      </c>
      <c r="U22" s="19" t="s">
        <v>21</v>
      </c>
      <c r="V22" s="19" t="s">
        <v>22</v>
      </c>
    </row>
    <row r="23" spans="1:22" ht="14.4" x14ac:dyDescent="0.3">
      <c r="A23" s="6">
        <v>1</v>
      </c>
      <c r="B23" s="11">
        <f>$B$16</f>
        <v>30625</v>
      </c>
      <c r="C23" s="11">
        <f>B23/((1+$B$17)^A23)</f>
        <v>28820.816864295124</v>
      </c>
      <c r="D23" s="11">
        <f>A23*C23</f>
        <v>28820.816864295124</v>
      </c>
      <c r="G23" s="6">
        <v>1</v>
      </c>
      <c r="H23" s="13">
        <f>$H$16</f>
        <v>41250</v>
      </c>
      <c r="I23" s="11">
        <f>H23/(1+$H$17)^G23</f>
        <v>38627.212285794551</v>
      </c>
      <c r="J23" s="11">
        <f>G23*I23</f>
        <v>38627.212285794551</v>
      </c>
      <c r="M23" s="19">
        <v>1</v>
      </c>
      <c r="N23" s="20">
        <f>N16</f>
        <v>35625</v>
      </c>
      <c r="O23" s="20">
        <f>N23/(1+$N$17)^M23</f>
        <v>33322.420727714903</v>
      </c>
      <c r="P23" s="20">
        <f>O23*M23</f>
        <v>33322.420727714903</v>
      </c>
      <c r="S23" s="19">
        <v>1</v>
      </c>
      <c r="T23" s="20">
        <f>T16</f>
        <v>36875</v>
      </c>
      <c r="U23" s="20">
        <f>T23/(1+$T$17)^S23</f>
        <v>34488.402543958102</v>
      </c>
      <c r="V23" s="20">
        <f>U23*S23</f>
        <v>34488.402543958102</v>
      </c>
    </row>
    <row r="24" spans="1:22" ht="14.4" x14ac:dyDescent="0.3">
      <c r="A24" s="6">
        <v>2</v>
      </c>
      <c r="B24" s="11">
        <f t="shared" ref="B24:B25" si="0">$B$16</f>
        <v>30625</v>
      </c>
      <c r="C24" s="11">
        <f t="shared" ref="C24:C26" si="1">B24/((1+$B$17)^A24)</f>
        <v>27122.921950211865</v>
      </c>
      <c r="D24" s="11">
        <f t="shared" ref="D24:D26" si="2">A24*C24</f>
        <v>54245.84390042373</v>
      </c>
      <c r="G24" s="6">
        <v>2</v>
      </c>
      <c r="H24" s="13">
        <f t="shared" ref="H24:H41" si="3">$H$16</f>
        <v>41250</v>
      </c>
      <c r="I24" s="11">
        <f t="shared" ref="I24:I42" si="4">H24/(1+$H$17)^G24</f>
        <v>36171.188581135451</v>
      </c>
      <c r="J24" s="11">
        <f t="shared" ref="J24:J42" si="5">G24*I24</f>
        <v>72342.377162270903</v>
      </c>
      <c r="M24" s="19">
        <v>2</v>
      </c>
      <c r="N24" s="20">
        <f>$N$23</f>
        <v>35625</v>
      </c>
      <c r="O24" s="20">
        <f t="shared" ref="O24:O57" si="6">N24/(1+$N$17)^M24</f>
        <v>31168.665913118421</v>
      </c>
      <c r="P24" s="20">
        <f t="shared" ref="P24:P57" si="7">O24*M24</f>
        <v>62337.331826236841</v>
      </c>
      <c r="S24" s="19">
        <v>2</v>
      </c>
      <c r="T24" s="20">
        <f>$T$23</f>
        <v>36875</v>
      </c>
      <c r="U24" s="20">
        <f t="shared" ref="U24:U76" si="8">T24/(1+$T$17)^S24</f>
        <v>32256.268746687343</v>
      </c>
      <c r="V24" s="20">
        <f t="shared" ref="V24:V76" si="9">U24*S24</f>
        <v>64512.537493374686</v>
      </c>
    </row>
    <row r="25" spans="1:22" ht="14.4" x14ac:dyDescent="0.3">
      <c r="A25" s="6">
        <v>3</v>
      </c>
      <c r="B25" s="11">
        <f t="shared" si="0"/>
        <v>30625</v>
      </c>
      <c r="C25" s="53">
        <f t="shared" si="1"/>
        <v>25525.053595155154</v>
      </c>
      <c r="D25" s="11">
        <f t="shared" si="2"/>
        <v>76575.160785465458</v>
      </c>
      <c r="G25" s="6">
        <v>3</v>
      </c>
      <c r="H25" s="13">
        <f t="shared" si="3"/>
        <v>41250</v>
      </c>
      <c r="I25" s="11">
        <f t="shared" si="4"/>
        <v>33871.32557461883</v>
      </c>
      <c r="J25" s="11">
        <f t="shared" si="5"/>
        <v>101613.9767238565</v>
      </c>
      <c r="M25" s="19">
        <v>3</v>
      </c>
      <c r="N25" s="20">
        <f t="shared" ref="N25:N56" si="10">$N$23</f>
        <v>35625</v>
      </c>
      <c r="O25" s="20">
        <f t="shared" si="6"/>
        <v>29154.116465361916</v>
      </c>
      <c r="P25" s="20">
        <f t="shared" si="7"/>
        <v>87462.349396085745</v>
      </c>
      <c r="S25" s="19">
        <v>3</v>
      </c>
      <c r="T25" s="20">
        <f t="shared" ref="T25:T76" si="11">$T$23</f>
        <v>36875</v>
      </c>
      <c r="U25" s="20">
        <f t="shared" si="8"/>
        <v>30168.601521406046</v>
      </c>
      <c r="V25" s="20">
        <f t="shared" si="9"/>
        <v>90505.804564218139</v>
      </c>
    </row>
    <row r="26" spans="1:22" ht="14.4" x14ac:dyDescent="0.3">
      <c r="A26" s="6">
        <v>4</v>
      </c>
      <c r="B26" s="11">
        <f>$B$16+B8</f>
        <v>1030625</v>
      </c>
      <c r="C26" s="11">
        <f t="shared" si="1"/>
        <v>808390.91981567838</v>
      </c>
      <c r="D26" s="11">
        <f t="shared" si="2"/>
        <v>3233563.6792627135</v>
      </c>
      <c r="G26" s="6">
        <v>4</v>
      </c>
      <c r="H26" s="13">
        <f t="shared" si="3"/>
        <v>41250</v>
      </c>
      <c r="I26" s="11">
        <f t="shared" si="4"/>
        <v>31717.694142353055</v>
      </c>
      <c r="J26" s="11">
        <f t="shared" si="5"/>
        <v>126870.77656941222</v>
      </c>
      <c r="M26" s="19">
        <v>4</v>
      </c>
      <c r="N26" s="20">
        <f t="shared" si="10"/>
        <v>35625</v>
      </c>
      <c r="O26" s="20">
        <f t="shared" si="6"/>
        <v>27269.775012030601</v>
      </c>
      <c r="P26" s="20">
        <f t="shared" si="7"/>
        <v>109079.1000481224</v>
      </c>
      <c r="S26" s="19">
        <v>4</v>
      </c>
      <c r="T26" s="20">
        <f t="shared" si="11"/>
        <v>36875</v>
      </c>
      <c r="U26" s="20">
        <f t="shared" si="8"/>
        <v>28216.050805654744</v>
      </c>
      <c r="V26" s="20">
        <f t="shared" si="9"/>
        <v>112864.20322261898</v>
      </c>
    </row>
    <row r="27" spans="1:22" ht="14.4" x14ac:dyDescent="0.3">
      <c r="B27" s="2"/>
      <c r="C27" s="28">
        <f>SUM(C23:C26)</f>
        <v>889859.71222534054</v>
      </c>
      <c r="D27" s="28">
        <f>SUM(D23:D26)</f>
        <v>3393205.5008128979</v>
      </c>
      <c r="G27" s="6">
        <v>5</v>
      </c>
      <c r="H27" s="13">
        <f t="shared" si="3"/>
        <v>41250</v>
      </c>
      <c r="I27" s="11">
        <f t="shared" si="4"/>
        <v>29700.996481274517</v>
      </c>
      <c r="J27" s="11">
        <f t="shared" si="5"/>
        <v>148504.98240637258</v>
      </c>
      <c r="M27" s="19">
        <v>5</v>
      </c>
      <c r="N27" s="20">
        <f t="shared" si="10"/>
        <v>35625</v>
      </c>
      <c r="O27" s="20">
        <f t="shared" si="6"/>
        <v>25507.225715116081</v>
      </c>
      <c r="P27" s="20">
        <f t="shared" si="7"/>
        <v>127536.1285755804</v>
      </c>
      <c r="S27" s="19">
        <v>5</v>
      </c>
      <c r="T27" s="20">
        <f t="shared" si="11"/>
        <v>36875</v>
      </c>
      <c r="U27" s="20">
        <f t="shared" si="8"/>
        <v>26389.871685049333</v>
      </c>
      <c r="V27" s="20">
        <f t="shared" si="9"/>
        <v>131949.35842524667</v>
      </c>
    </row>
    <row r="28" spans="1:22" ht="14.4" x14ac:dyDescent="0.3">
      <c r="B28" s="2"/>
      <c r="C28" s="98" t="s">
        <v>24</v>
      </c>
      <c r="D28" s="19">
        <f>D27/C27</f>
        <v>3.8131915111959032</v>
      </c>
      <c r="G28" s="6">
        <v>6</v>
      </c>
      <c r="H28" s="13">
        <f t="shared" si="3"/>
        <v>41250</v>
      </c>
      <c r="I28" s="11">
        <f t="shared" si="4"/>
        <v>27812.525968044301</v>
      </c>
      <c r="J28" s="11">
        <f t="shared" si="5"/>
        <v>166875.15580826582</v>
      </c>
      <c r="M28" s="19">
        <v>6</v>
      </c>
      <c r="N28" s="20">
        <f t="shared" si="10"/>
        <v>35625</v>
      </c>
      <c r="O28" s="20">
        <f t="shared" si="6"/>
        <v>23858.596684235414</v>
      </c>
      <c r="P28" s="20">
        <f t="shared" si="7"/>
        <v>143151.58010541249</v>
      </c>
      <c r="S28" s="19">
        <v>6</v>
      </c>
      <c r="T28" s="20">
        <f t="shared" si="11"/>
        <v>36875</v>
      </c>
      <c r="U28" s="20">
        <f t="shared" si="8"/>
        <v>24681.885227318871</v>
      </c>
      <c r="V28" s="20">
        <f t="shared" si="9"/>
        <v>148091.31136391324</v>
      </c>
    </row>
    <row r="29" spans="1:22" ht="14.4" x14ac:dyDescent="0.3">
      <c r="B29" s="2"/>
      <c r="C29" s="98"/>
      <c r="D29" s="19">
        <f>D28/2</f>
        <v>1.9065957555979516</v>
      </c>
      <c r="G29" s="6">
        <v>7</v>
      </c>
      <c r="H29" s="13">
        <f t="shared" si="3"/>
        <v>41250</v>
      </c>
      <c r="I29" s="11">
        <f t="shared" si="4"/>
        <v>26044.129570225963</v>
      </c>
      <c r="J29" s="11">
        <f t="shared" si="5"/>
        <v>182308.90699158175</v>
      </c>
      <c r="M29" s="19">
        <v>7</v>
      </c>
      <c r="N29" s="20">
        <f t="shared" si="10"/>
        <v>35625</v>
      </c>
      <c r="O29" s="20">
        <f t="shared" si="6"/>
        <v>22316.524819226841</v>
      </c>
      <c r="P29" s="20">
        <f t="shared" si="7"/>
        <v>156215.67373458788</v>
      </c>
      <c r="S29" s="19">
        <v>7</v>
      </c>
      <c r="T29" s="20">
        <f t="shared" si="11"/>
        <v>36875</v>
      </c>
      <c r="U29" s="20">
        <f t="shared" si="8"/>
        <v>23084.441851214808</v>
      </c>
      <c r="V29" s="20">
        <f t="shared" si="9"/>
        <v>161591.09295850366</v>
      </c>
    </row>
    <row r="30" spans="1:22" ht="14.4" x14ac:dyDescent="0.3">
      <c r="B30" s="2"/>
      <c r="C30" s="2"/>
      <c r="D30" s="2"/>
      <c r="G30" s="6">
        <v>8</v>
      </c>
      <c r="H30" s="13">
        <f t="shared" si="3"/>
        <v>41250</v>
      </c>
      <c r="I30" s="11">
        <f t="shared" si="4"/>
        <v>24388.172647463209</v>
      </c>
      <c r="J30" s="11">
        <f t="shared" si="5"/>
        <v>195105.38117970567</v>
      </c>
      <c r="M30" s="19">
        <v>8</v>
      </c>
      <c r="N30" s="20">
        <f t="shared" si="10"/>
        <v>35625</v>
      </c>
      <c r="O30" s="20">
        <f t="shared" si="6"/>
        <v>20874.122925102274</v>
      </c>
      <c r="P30" s="20">
        <f t="shared" si="7"/>
        <v>166992.98340081819</v>
      </c>
      <c r="S30" s="19">
        <v>8</v>
      </c>
      <c r="T30" s="20">
        <f t="shared" si="11"/>
        <v>36875</v>
      </c>
      <c r="U30" s="20">
        <f t="shared" si="8"/>
        <v>21590.387066231586</v>
      </c>
      <c r="V30" s="20">
        <f t="shared" si="9"/>
        <v>172723.09652985269</v>
      </c>
    </row>
    <row r="31" spans="1:22" ht="14.4" x14ac:dyDescent="0.3">
      <c r="A31" s="99" t="s">
        <v>24</v>
      </c>
      <c r="B31" s="99"/>
      <c r="C31" s="2"/>
      <c r="D31" s="2"/>
      <c r="G31" s="6">
        <v>9</v>
      </c>
      <c r="H31" s="13">
        <f t="shared" si="3"/>
        <v>41250</v>
      </c>
      <c r="I31" s="11">
        <f t="shared" si="4"/>
        <v>22837.505990695015</v>
      </c>
      <c r="J31" s="11">
        <f t="shared" si="5"/>
        <v>205537.55391625513</v>
      </c>
      <c r="M31" s="19">
        <v>9</v>
      </c>
      <c r="N31" s="20">
        <f t="shared" si="10"/>
        <v>35625</v>
      </c>
      <c r="O31" s="20">
        <f t="shared" si="6"/>
        <v>19524.948952485527</v>
      </c>
      <c r="P31" s="20">
        <f t="shared" si="7"/>
        <v>175724.54057236973</v>
      </c>
      <c r="S31" s="19">
        <v>9</v>
      </c>
      <c r="T31" s="20">
        <f t="shared" si="11"/>
        <v>36875</v>
      </c>
      <c r="U31" s="20">
        <f t="shared" si="8"/>
        <v>20193.029429696584</v>
      </c>
      <c r="V31" s="20">
        <f t="shared" si="9"/>
        <v>181737.26486726926</v>
      </c>
    </row>
    <row r="32" spans="1:22" ht="14.4" x14ac:dyDescent="0.3">
      <c r="A32" s="58" t="s">
        <v>52</v>
      </c>
      <c r="B32" s="19">
        <f>D29</f>
        <v>1.9065957555979516</v>
      </c>
      <c r="C32" s="2"/>
      <c r="D32" s="2"/>
      <c r="G32" s="6">
        <v>10</v>
      </c>
      <c r="H32" s="13">
        <f t="shared" si="3"/>
        <v>41250</v>
      </c>
      <c r="I32" s="11">
        <f t="shared" si="4"/>
        <v>21385.43495710742</v>
      </c>
      <c r="J32" s="11">
        <f t="shared" si="5"/>
        <v>213854.34957107418</v>
      </c>
      <c r="M32" s="19">
        <v>10</v>
      </c>
      <c r="N32" s="20">
        <f t="shared" si="10"/>
        <v>35625</v>
      </c>
      <c r="O32" s="20">
        <f t="shared" si="6"/>
        <v>18262.977226158007</v>
      </c>
      <c r="P32" s="20">
        <f t="shared" si="7"/>
        <v>182629.77226158007</v>
      </c>
      <c r="S32" s="19">
        <v>10</v>
      </c>
      <c r="T32" s="20">
        <f t="shared" si="11"/>
        <v>36875</v>
      </c>
      <c r="U32" s="20">
        <f t="shared" si="8"/>
        <v>18886.110577718468</v>
      </c>
      <c r="V32" s="20">
        <f t="shared" si="9"/>
        <v>188861.10577718468</v>
      </c>
    </row>
    <row r="33" spans="1:22" ht="14.4" x14ac:dyDescent="0.3">
      <c r="A33" s="58" t="s">
        <v>3</v>
      </c>
      <c r="B33" s="19">
        <f>J45</f>
        <v>6.3789623231893255</v>
      </c>
      <c r="C33" s="2"/>
      <c r="D33" s="2"/>
      <c r="G33" s="6">
        <v>11</v>
      </c>
      <c r="H33" s="13">
        <f t="shared" si="3"/>
        <v>41250</v>
      </c>
      <c r="I33" s="11">
        <f t="shared" si="4"/>
        <v>20025.690567569454</v>
      </c>
      <c r="J33" s="11">
        <f t="shared" si="5"/>
        <v>220282.59624326401</v>
      </c>
      <c r="M33" s="19">
        <v>11</v>
      </c>
      <c r="N33" s="20">
        <f t="shared" si="10"/>
        <v>35625</v>
      </c>
      <c r="O33" s="20">
        <f t="shared" si="6"/>
        <v>17082.571533212991</v>
      </c>
      <c r="P33" s="20">
        <f t="shared" si="7"/>
        <v>187908.2868653429</v>
      </c>
      <c r="S33" s="19">
        <v>11</v>
      </c>
      <c r="T33" s="20">
        <f t="shared" si="11"/>
        <v>36875</v>
      </c>
      <c r="U33" s="20">
        <f t="shared" si="8"/>
        <v>17663.777195771108</v>
      </c>
      <c r="V33" s="20">
        <f t="shared" si="9"/>
        <v>194301.54915348219</v>
      </c>
    </row>
    <row r="34" spans="1:22" ht="14.4" x14ac:dyDescent="0.3">
      <c r="A34" s="58" t="s">
        <v>53</v>
      </c>
      <c r="B34" s="19">
        <f>P60</f>
        <v>7.8820165895574092</v>
      </c>
      <c r="C34" s="2"/>
      <c r="D34" s="2"/>
      <c r="G34" s="6">
        <v>12</v>
      </c>
      <c r="H34" s="13">
        <f t="shared" si="3"/>
        <v>41250</v>
      </c>
      <c r="I34" s="11">
        <f t="shared" si="4"/>
        <v>18752.402441773062</v>
      </c>
      <c r="J34" s="11">
        <f t="shared" si="5"/>
        <v>225028.82930127674</v>
      </c>
      <c r="M34" s="19">
        <v>12</v>
      </c>
      <c r="N34" s="20">
        <f t="shared" si="10"/>
        <v>35625</v>
      </c>
      <c r="O34" s="20">
        <f t="shared" si="6"/>
        <v>15978.459950624818</v>
      </c>
      <c r="P34" s="20">
        <f t="shared" si="7"/>
        <v>191741.51940749781</v>
      </c>
      <c r="S34" s="19">
        <v>12</v>
      </c>
      <c r="T34" s="20">
        <f t="shared" si="11"/>
        <v>36875</v>
      </c>
      <c r="U34" s="20">
        <f t="shared" si="8"/>
        <v>16520.554803377396</v>
      </c>
      <c r="V34" s="20">
        <f t="shared" si="9"/>
        <v>198246.65764052875</v>
      </c>
    </row>
    <row r="35" spans="1:22" ht="14.4" x14ac:dyDescent="0.3">
      <c r="A35" s="58" t="s">
        <v>54</v>
      </c>
      <c r="B35" s="19">
        <f>V80</f>
        <v>7.9859270580343651</v>
      </c>
      <c r="C35" s="2"/>
      <c r="D35" s="2"/>
      <c r="G35" s="6">
        <v>13</v>
      </c>
      <c r="H35" s="13">
        <f t="shared" si="3"/>
        <v>41250</v>
      </c>
      <c r="I35" s="11">
        <f t="shared" si="4"/>
        <v>17560.073454230791</v>
      </c>
      <c r="J35" s="11">
        <f t="shared" si="5"/>
        <v>228280.95490500028</v>
      </c>
      <c r="M35" s="19">
        <v>13</v>
      </c>
      <c r="N35" s="20">
        <f t="shared" si="10"/>
        <v>35625</v>
      </c>
      <c r="O35" s="20">
        <f t="shared" si="6"/>
        <v>14945.711299808079</v>
      </c>
      <c r="P35" s="20">
        <f t="shared" si="7"/>
        <v>194294.24689750504</v>
      </c>
      <c r="S35" s="19">
        <v>13</v>
      </c>
      <c r="T35" s="20">
        <f t="shared" si="11"/>
        <v>36875</v>
      </c>
      <c r="U35" s="20">
        <f t="shared" si="8"/>
        <v>15451.323235482041</v>
      </c>
      <c r="V35" s="20">
        <f t="shared" si="9"/>
        <v>200867.20206126652</v>
      </c>
    </row>
    <row r="36" spans="1:22" ht="14.4" x14ac:dyDescent="0.3">
      <c r="B36" s="2"/>
      <c r="C36" s="2"/>
      <c r="D36" s="2"/>
      <c r="G36" s="6">
        <v>14</v>
      </c>
      <c r="H36" s="13">
        <f t="shared" si="3"/>
        <v>41250</v>
      </c>
      <c r="I36" s="11">
        <f t="shared" si="4"/>
        <v>16443.55600171438</v>
      </c>
      <c r="J36" s="11">
        <f t="shared" si="5"/>
        <v>230209.78402400133</v>
      </c>
      <c r="M36" s="19">
        <v>14</v>
      </c>
      <c r="N36" s="20">
        <f t="shared" si="10"/>
        <v>35625</v>
      </c>
      <c r="O36" s="20">
        <f t="shared" si="6"/>
        <v>13979.713123008214</v>
      </c>
      <c r="P36" s="20">
        <f t="shared" si="7"/>
        <v>195715.98372211499</v>
      </c>
      <c r="S36" s="19">
        <v>14</v>
      </c>
      <c r="T36" s="20">
        <f t="shared" si="11"/>
        <v>36875</v>
      </c>
      <c r="U36" s="20">
        <f t="shared" si="8"/>
        <v>14451.293710701499</v>
      </c>
      <c r="V36" s="20">
        <f t="shared" si="9"/>
        <v>202318.11194982097</v>
      </c>
    </row>
    <row r="37" spans="1:22" ht="14.4" x14ac:dyDescent="0.3">
      <c r="B37" s="2"/>
      <c r="G37" s="6">
        <v>15</v>
      </c>
      <c r="H37" s="13">
        <f t="shared" si="3"/>
        <v>41250</v>
      </c>
      <c r="I37" s="11">
        <f t="shared" si="4"/>
        <v>15398.029779674485</v>
      </c>
      <c r="J37" s="11">
        <f t="shared" si="5"/>
        <v>230970.44669511728</v>
      </c>
      <c r="M37" s="19">
        <v>15</v>
      </c>
      <c r="N37" s="20">
        <f t="shared" si="10"/>
        <v>35625</v>
      </c>
      <c r="O37" s="20">
        <f t="shared" si="6"/>
        <v>13076.15108316174</v>
      </c>
      <c r="P37" s="20">
        <f t="shared" si="7"/>
        <v>196142.2662474261</v>
      </c>
      <c r="S37" s="19">
        <v>15</v>
      </c>
      <c r="T37" s="20">
        <f t="shared" si="11"/>
        <v>36875</v>
      </c>
      <c r="U37" s="20">
        <f t="shared" si="8"/>
        <v>13515.98738374626</v>
      </c>
      <c r="V37" s="20">
        <f t="shared" si="9"/>
        <v>202739.81075619391</v>
      </c>
    </row>
    <row r="38" spans="1:22" ht="14.4" x14ac:dyDescent="0.3">
      <c r="B38" s="2"/>
      <c r="G38" s="6">
        <v>16</v>
      </c>
      <c r="H38" s="13">
        <f t="shared" si="3"/>
        <v>41250</v>
      </c>
      <c r="I38" s="11">
        <f t="shared" si="4"/>
        <v>14418.980971696305</v>
      </c>
      <c r="J38" s="11">
        <f t="shared" si="5"/>
        <v>230703.69554714087</v>
      </c>
      <c r="M38" s="19">
        <v>16</v>
      </c>
      <c r="N38" s="20">
        <f t="shared" si="10"/>
        <v>35625</v>
      </c>
      <c r="O38" s="20">
        <f t="shared" si="6"/>
        <v>12230.989695221906</v>
      </c>
      <c r="P38" s="20">
        <f t="shared" si="7"/>
        <v>195695.8351235505</v>
      </c>
      <c r="S38" s="19">
        <v>16</v>
      </c>
      <c r="T38" s="20">
        <f t="shared" si="11"/>
        <v>36875</v>
      </c>
      <c r="U38" s="20">
        <f t="shared" si="8"/>
        <v>12641.215285957969</v>
      </c>
      <c r="V38" s="20">
        <f t="shared" si="9"/>
        <v>202259.44457532751</v>
      </c>
    </row>
    <row r="39" spans="1:22" ht="14.4" x14ac:dyDescent="0.3">
      <c r="G39" s="6">
        <v>17</v>
      </c>
      <c r="H39" s="13">
        <f t="shared" si="3"/>
        <v>41250</v>
      </c>
      <c r="I39" s="11">
        <f t="shared" si="4"/>
        <v>13502.182762146555</v>
      </c>
      <c r="J39" s="11">
        <f t="shared" si="5"/>
        <v>229537.10695649142</v>
      </c>
      <c r="M39" s="19">
        <v>17</v>
      </c>
      <c r="N39" s="20">
        <f t="shared" si="10"/>
        <v>35625</v>
      </c>
      <c r="O39" s="20">
        <f t="shared" si="6"/>
        <v>11440.454302892063</v>
      </c>
      <c r="P39" s="20">
        <f t="shared" si="7"/>
        <v>194487.72314916507</v>
      </c>
      <c r="S39" s="19">
        <v>17</v>
      </c>
      <c r="T39" s="20">
        <f t="shared" si="11"/>
        <v>36875</v>
      </c>
      <c r="U39" s="20">
        <f t="shared" si="8"/>
        <v>11823.059564120811</v>
      </c>
      <c r="V39" s="20">
        <f t="shared" si="9"/>
        <v>200992.01259005378</v>
      </c>
    </row>
    <row r="40" spans="1:22" ht="14.4" x14ac:dyDescent="0.3">
      <c r="C40" s="96"/>
      <c r="G40" s="6">
        <v>18</v>
      </c>
      <c r="H40" s="13">
        <f t="shared" si="3"/>
        <v>41250</v>
      </c>
      <c r="I40" s="11">
        <f t="shared" si="4"/>
        <v>12643.677087879532</v>
      </c>
      <c r="J40" s="11">
        <f t="shared" si="5"/>
        <v>227586.18758183159</v>
      </c>
      <c r="M40" s="19">
        <v>18</v>
      </c>
      <c r="N40" s="20">
        <f t="shared" si="10"/>
        <v>35625</v>
      </c>
      <c r="O40" s="20">
        <f t="shared" si="6"/>
        <v>10701.014220271318</v>
      </c>
      <c r="P40" s="20">
        <f t="shared" si="7"/>
        <v>192618.25596488372</v>
      </c>
      <c r="S40" s="19">
        <v>18</v>
      </c>
      <c r="T40" s="20">
        <f t="shared" si="11"/>
        <v>36875</v>
      </c>
      <c r="U40" s="20">
        <f t="shared" si="8"/>
        <v>11057.855933521148</v>
      </c>
      <c r="V40" s="20">
        <f t="shared" si="9"/>
        <v>199041.40680338067</v>
      </c>
    </row>
    <row r="41" spans="1:22" ht="14.4" x14ac:dyDescent="0.3">
      <c r="C41" s="96"/>
      <c r="G41" s="6">
        <v>19</v>
      </c>
      <c r="H41" s="13">
        <f t="shared" si="3"/>
        <v>41250</v>
      </c>
      <c r="I41" s="11">
        <f t="shared" si="4"/>
        <v>11839.75755021962</v>
      </c>
      <c r="J41" s="11">
        <f t="shared" si="5"/>
        <v>224955.39345417276</v>
      </c>
      <c r="M41" s="19">
        <v>19</v>
      </c>
      <c r="N41" s="20">
        <f t="shared" si="10"/>
        <v>35625</v>
      </c>
      <c r="O41" s="20">
        <f t="shared" si="6"/>
        <v>10009.366963119743</v>
      </c>
      <c r="P41" s="20">
        <f t="shared" si="7"/>
        <v>190177.9722992751</v>
      </c>
      <c r="S41" s="19">
        <v>19</v>
      </c>
      <c r="T41" s="20">
        <f t="shared" si="11"/>
        <v>36875</v>
      </c>
      <c r="U41" s="20">
        <f t="shared" si="8"/>
        <v>10342.177266667741</v>
      </c>
      <c r="V41" s="20">
        <f t="shared" si="9"/>
        <v>196501.36806668708</v>
      </c>
    </row>
    <row r="42" spans="1:22" ht="14.4" x14ac:dyDescent="0.3">
      <c r="G42" s="6">
        <v>20</v>
      </c>
      <c r="H42" s="13">
        <f>$H$16+C8</f>
        <v>1041250</v>
      </c>
      <c r="I42" s="29">
        <f t="shared" si="4"/>
        <v>279861.58161821251</v>
      </c>
      <c r="J42" s="29">
        <f t="shared" si="5"/>
        <v>5597231.6323642507</v>
      </c>
      <c r="M42" s="19">
        <v>20</v>
      </c>
      <c r="N42" s="20">
        <f t="shared" si="10"/>
        <v>35625</v>
      </c>
      <c r="O42" s="20">
        <f t="shared" si="6"/>
        <v>9362.423499316943</v>
      </c>
      <c r="P42" s="20">
        <f t="shared" si="7"/>
        <v>187248.46998633887</v>
      </c>
      <c r="S42" s="19">
        <v>20</v>
      </c>
      <c r="T42" s="20">
        <f t="shared" si="11"/>
        <v>36875</v>
      </c>
      <c r="U42" s="20">
        <f t="shared" si="8"/>
        <v>9672.8182441711033</v>
      </c>
      <c r="V42" s="20">
        <f t="shared" si="9"/>
        <v>193456.36488342207</v>
      </c>
    </row>
    <row r="43" spans="1:22" ht="14.4" x14ac:dyDescent="0.3">
      <c r="I43" s="25">
        <f>SUM(I23:I42)</f>
        <v>713002.11843382893</v>
      </c>
      <c r="J43" s="25">
        <f>SUM(J23:J42)</f>
        <v>9096427.299687136</v>
      </c>
      <c r="M43" s="19">
        <v>21</v>
      </c>
      <c r="N43" s="20">
        <f t="shared" si="10"/>
        <v>35625</v>
      </c>
      <c r="O43" s="20">
        <f t="shared" si="6"/>
        <v>8757.2944526395513</v>
      </c>
      <c r="P43" s="20">
        <f t="shared" si="7"/>
        <v>183903.18350543058</v>
      </c>
      <c r="S43" s="19">
        <v>21</v>
      </c>
      <c r="T43" s="20">
        <f t="shared" si="11"/>
        <v>36875</v>
      </c>
      <c r="U43" s="20">
        <f t="shared" si="8"/>
        <v>9046.7809990376954</v>
      </c>
      <c r="V43" s="20">
        <f t="shared" si="9"/>
        <v>189982.40097979159</v>
      </c>
    </row>
    <row r="44" spans="1:22" ht="14.4" x14ac:dyDescent="0.3">
      <c r="I44" s="90" t="s">
        <v>24</v>
      </c>
      <c r="J44" s="19">
        <f>J43/I43</f>
        <v>12.757924646378651</v>
      </c>
      <c r="M44" s="19">
        <v>22</v>
      </c>
      <c r="N44" s="20">
        <f t="shared" si="10"/>
        <v>35625</v>
      </c>
      <c r="O44" s="20">
        <f t="shared" si="6"/>
        <v>8191.2771982410914</v>
      </c>
      <c r="P44" s="20">
        <f t="shared" si="7"/>
        <v>180208.098361304</v>
      </c>
      <c r="S44" s="19">
        <v>22</v>
      </c>
      <c r="T44" s="20">
        <f t="shared" si="11"/>
        <v>36875</v>
      </c>
      <c r="U44" s="20">
        <f t="shared" si="8"/>
        <v>8461.2616900838912</v>
      </c>
      <c r="V44" s="20">
        <f t="shared" si="9"/>
        <v>186147.75718184561</v>
      </c>
    </row>
    <row r="45" spans="1:22" ht="14.4" x14ac:dyDescent="0.3">
      <c r="A45" t="s">
        <v>25</v>
      </c>
      <c r="I45" s="90"/>
      <c r="J45" s="19">
        <f>J44/2</f>
        <v>6.3789623231893255</v>
      </c>
      <c r="M45" s="19">
        <v>23</v>
      </c>
      <c r="N45" s="20">
        <f t="shared" si="10"/>
        <v>35625</v>
      </c>
      <c r="O45" s="20">
        <f t="shared" si="6"/>
        <v>7661.8437922000676</v>
      </c>
      <c r="P45" s="20">
        <f t="shared" si="7"/>
        <v>176222.40722060154</v>
      </c>
      <c r="S45" s="19">
        <v>23</v>
      </c>
      <c r="T45" s="20">
        <f t="shared" si="11"/>
        <v>36875</v>
      </c>
      <c r="U45" s="20">
        <f t="shared" si="8"/>
        <v>7913.637944335851</v>
      </c>
      <c r="V45" s="20">
        <f t="shared" si="9"/>
        <v>182013.67271972456</v>
      </c>
    </row>
    <row r="46" spans="1:22" ht="15" customHeight="1" x14ac:dyDescent="0.3">
      <c r="M46" s="19">
        <v>24</v>
      </c>
      <c r="N46" s="20">
        <f t="shared" si="10"/>
        <v>35625</v>
      </c>
      <c r="O46" s="20">
        <f t="shared" si="6"/>
        <v>7166.6296812272631</v>
      </c>
      <c r="P46" s="20">
        <f t="shared" si="7"/>
        <v>171999.11234945431</v>
      </c>
      <c r="S46" s="19">
        <v>24</v>
      </c>
      <c r="T46" s="20">
        <f t="shared" si="11"/>
        <v>36875</v>
      </c>
      <c r="U46" s="20">
        <f t="shared" si="8"/>
        <v>7401.4571121734507</v>
      </c>
      <c r="V46" s="20">
        <f t="shared" si="9"/>
        <v>177634.97069216281</v>
      </c>
    </row>
    <row r="47" spans="1:22" ht="14.4" x14ac:dyDescent="0.3">
      <c r="A47" s="48" t="s">
        <v>0</v>
      </c>
      <c r="B47" s="48" t="s">
        <v>26</v>
      </c>
      <c r="C47" s="48" t="s">
        <v>27</v>
      </c>
      <c r="D47" s="48" t="s">
        <v>28</v>
      </c>
      <c r="E47" s="48" t="s">
        <v>22</v>
      </c>
      <c r="M47" s="19">
        <v>25</v>
      </c>
      <c r="N47" s="20">
        <f t="shared" si="10"/>
        <v>35625</v>
      </c>
      <c r="O47" s="20">
        <f t="shared" si="6"/>
        <v>6703.4231421076265</v>
      </c>
      <c r="P47" s="20">
        <f t="shared" si="7"/>
        <v>167585.57855269065</v>
      </c>
      <c r="S47" s="19">
        <v>25</v>
      </c>
      <c r="T47" s="20">
        <f t="shared" si="11"/>
        <v>36875</v>
      </c>
      <c r="U47" s="20">
        <f t="shared" si="8"/>
        <v>6922.4252826163956</v>
      </c>
      <c r="V47" s="20">
        <f t="shared" si="9"/>
        <v>173060.63206540988</v>
      </c>
    </row>
    <row r="48" spans="1:22" ht="14.4" x14ac:dyDescent="0.3">
      <c r="A48" s="54" t="s">
        <v>55</v>
      </c>
      <c r="B48" s="6">
        <v>6</v>
      </c>
      <c r="C48" s="31">
        <f>1-D48</f>
        <v>8.4734182107397915E-2</v>
      </c>
      <c r="D48" s="31">
        <f>(D29-B48)/(D29-J45)</f>
        <v>0.91526581789260208</v>
      </c>
      <c r="E48" s="15">
        <f>C48+D48</f>
        <v>1</v>
      </c>
      <c r="M48" s="19">
        <v>26</v>
      </c>
      <c r="N48" s="20">
        <f t="shared" si="10"/>
        <v>35625</v>
      </c>
      <c r="O48" s="20">
        <f t="shared" si="6"/>
        <v>6270.1554037111846</v>
      </c>
      <c r="P48" s="20">
        <f t="shared" si="7"/>
        <v>163024.04049649081</v>
      </c>
      <c r="S48" s="19">
        <v>26</v>
      </c>
      <c r="T48" s="20">
        <f t="shared" si="11"/>
        <v>36875</v>
      </c>
      <c r="U48" s="20">
        <f t="shared" si="8"/>
        <v>6474.3970095551776</v>
      </c>
      <c r="V48" s="20">
        <f t="shared" si="9"/>
        <v>168334.32224843462</v>
      </c>
    </row>
    <row r="49" spans="1:22" ht="14.4" x14ac:dyDescent="0.3">
      <c r="A49" s="55" t="s">
        <v>56</v>
      </c>
      <c r="B49" s="6">
        <v>7</v>
      </c>
      <c r="C49" s="31">
        <f>1-D49</f>
        <v>0.14760744290088168</v>
      </c>
      <c r="D49" s="31">
        <f>(D29-B49)/(D29-P60)</f>
        <v>0.85239255709911832</v>
      </c>
      <c r="E49" s="15">
        <f t="shared" ref="E49:E53" si="12">C49+D49</f>
        <v>1</v>
      </c>
      <c r="M49" s="19">
        <v>27</v>
      </c>
      <c r="N49" s="20">
        <f t="shared" si="10"/>
        <v>35625</v>
      </c>
      <c r="O49" s="20">
        <f t="shared" si="6"/>
        <v>5864.8914074559762</v>
      </c>
      <c r="P49" s="20">
        <f t="shared" si="7"/>
        <v>158352.06800131136</v>
      </c>
      <c r="S49" s="19">
        <v>27</v>
      </c>
      <c r="T49" s="20">
        <f t="shared" si="11"/>
        <v>36875</v>
      </c>
      <c r="U49" s="20">
        <f t="shared" si="8"/>
        <v>6055.3657029135602</v>
      </c>
      <c r="V49" s="20">
        <f t="shared" si="9"/>
        <v>163494.87397866612</v>
      </c>
    </row>
    <row r="50" spans="1:22" ht="14.4" x14ac:dyDescent="0.3">
      <c r="A50" s="55" t="s">
        <v>57</v>
      </c>
      <c r="B50" s="22">
        <v>7</v>
      </c>
      <c r="C50" s="32">
        <f>1-D50</f>
        <v>0.16217689232354138</v>
      </c>
      <c r="D50" s="32">
        <f>(D29-B50)/(D29-V80)</f>
        <v>0.83782310767645862</v>
      </c>
      <c r="E50" s="15">
        <f>C50+D50</f>
        <v>1</v>
      </c>
      <c r="M50" s="19">
        <v>28</v>
      </c>
      <c r="N50" s="20">
        <f t="shared" si="10"/>
        <v>35625</v>
      </c>
      <c r="O50" s="20">
        <f t="shared" si="6"/>
        <v>5485.8211649574196</v>
      </c>
      <c r="P50" s="20">
        <f t="shared" si="7"/>
        <v>153602.99261880774</v>
      </c>
      <c r="S50" s="19">
        <v>28</v>
      </c>
      <c r="T50" s="20">
        <f t="shared" si="11"/>
        <v>36875</v>
      </c>
      <c r="U50" s="20">
        <f t="shared" si="8"/>
        <v>5663.4546417074089</v>
      </c>
      <c r="V50" s="20">
        <f t="shared" si="9"/>
        <v>158576.72996780745</v>
      </c>
    </row>
    <row r="51" spans="1:22" ht="15" customHeight="1" x14ac:dyDescent="0.3">
      <c r="A51" s="56" t="s">
        <v>58</v>
      </c>
      <c r="B51" s="6">
        <v>7</v>
      </c>
      <c r="C51" s="31">
        <f t="shared" ref="C51" si="13">1-D51</f>
        <v>0.58681619772031024</v>
      </c>
      <c r="D51" s="8">
        <f>(J45-B51)/(J45-P60)</f>
        <v>0.41318380227968976</v>
      </c>
      <c r="E51" s="24">
        <f>D51+C51</f>
        <v>1</v>
      </c>
      <c r="M51" s="19">
        <v>29</v>
      </c>
      <c r="N51" s="20">
        <f t="shared" si="10"/>
        <v>35625</v>
      </c>
      <c r="O51" s="20">
        <f t="shared" si="6"/>
        <v>5131.2516742656617</v>
      </c>
      <c r="P51" s="20">
        <f t="shared" si="7"/>
        <v>148806.2985537042</v>
      </c>
      <c r="S51" s="19">
        <v>29</v>
      </c>
      <c r="T51" s="20">
        <f t="shared" si="11"/>
        <v>36875</v>
      </c>
      <c r="U51" s="20">
        <f t="shared" si="8"/>
        <v>5296.9085687499155</v>
      </c>
      <c r="V51" s="20">
        <f t="shared" si="9"/>
        <v>153610.34849374756</v>
      </c>
    </row>
    <row r="52" spans="1:22" ht="14.4" x14ac:dyDescent="0.3">
      <c r="A52" s="56" t="s">
        <v>59</v>
      </c>
      <c r="B52" s="6">
        <v>7</v>
      </c>
      <c r="C52" s="31">
        <f>1-D52</f>
        <v>0.61353372395532912</v>
      </c>
      <c r="D52" s="8">
        <f>(J45-B52)/(J45-V80)</f>
        <v>0.38646627604467093</v>
      </c>
      <c r="E52" s="24">
        <f t="shared" si="12"/>
        <v>1</v>
      </c>
      <c r="M52" s="19">
        <v>30</v>
      </c>
      <c r="N52" s="20">
        <f t="shared" si="10"/>
        <v>35625</v>
      </c>
      <c r="O52" s="20">
        <f t="shared" si="6"/>
        <v>4799.599358587282</v>
      </c>
      <c r="P52" s="20">
        <f t="shared" si="7"/>
        <v>143987.98075761847</v>
      </c>
      <c r="S52" s="19">
        <v>30</v>
      </c>
      <c r="T52" s="20">
        <f t="shared" si="11"/>
        <v>36875</v>
      </c>
      <c r="U52" s="20">
        <f t="shared" si="8"/>
        <v>4954.0858293583206</v>
      </c>
      <c r="V52" s="20">
        <f t="shared" si="9"/>
        <v>148622.57488074963</v>
      </c>
    </row>
    <row r="53" spans="1:22" ht="15" customHeight="1" x14ac:dyDescent="0.3">
      <c r="A53" s="56" t="s">
        <v>60</v>
      </c>
      <c r="B53" s="6">
        <v>7.89</v>
      </c>
      <c r="C53" s="31">
        <f>1-D53</f>
        <v>0.92317029689495711</v>
      </c>
      <c r="D53" s="8">
        <f>(P60-B53)/(P60-V80)</f>
        <v>7.6829703105042862E-2</v>
      </c>
      <c r="E53" s="24">
        <f t="shared" si="12"/>
        <v>1</v>
      </c>
      <c r="M53" s="19">
        <v>31</v>
      </c>
      <c r="N53" s="20">
        <f t="shared" si="10"/>
        <v>35625</v>
      </c>
      <c r="O53" s="20">
        <f t="shared" si="6"/>
        <v>4489.3829937211503</v>
      </c>
      <c r="P53" s="20">
        <f t="shared" si="7"/>
        <v>139170.87280535567</v>
      </c>
      <c r="S53" s="19">
        <v>31</v>
      </c>
      <c r="T53" s="20">
        <f t="shared" si="11"/>
        <v>36875</v>
      </c>
      <c r="U53" s="20">
        <f t="shared" si="8"/>
        <v>4633.4510188536487</v>
      </c>
      <c r="V53" s="20">
        <f t="shared" si="9"/>
        <v>143636.98158446312</v>
      </c>
    </row>
    <row r="54" spans="1:22" ht="14.4" x14ac:dyDescent="0.3">
      <c r="A54" s="6" t="s">
        <v>61</v>
      </c>
      <c r="B54" s="23">
        <v>200000000</v>
      </c>
      <c r="M54" s="19">
        <v>32</v>
      </c>
      <c r="N54" s="20">
        <f t="shared" si="10"/>
        <v>35625</v>
      </c>
      <c r="O54" s="20">
        <f t="shared" si="6"/>
        <v>4199.2170926210365</v>
      </c>
      <c r="P54" s="20">
        <f t="shared" si="7"/>
        <v>134374.94696387317</v>
      </c>
      <c r="S54" s="19">
        <v>32</v>
      </c>
      <c r="T54" s="20">
        <f t="shared" si="11"/>
        <v>36875</v>
      </c>
      <c r="U54" s="20">
        <f t="shared" si="8"/>
        <v>4333.5681059237268</v>
      </c>
      <c r="V54" s="20">
        <f t="shared" si="9"/>
        <v>138674.17938955926</v>
      </c>
    </row>
    <row r="55" spans="1:22" ht="14.4" x14ac:dyDescent="0.3">
      <c r="A55" s="6" t="s">
        <v>34</v>
      </c>
      <c r="B55" s="6">
        <v>2</v>
      </c>
      <c r="M55" s="19">
        <v>33</v>
      </c>
      <c r="N55" s="20">
        <f t="shared" si="10"/>
        <v>35625</v>
      </c>
      <c r="O55" s="20">
        <f t="shared" si="6"/>
        <v>3927.8057175390859</v>
      </c>
      <c r="P55" s="20">
        <f t="shared" si="7"/>
        <v>129617.58867878983</v>
      </c>
      <c r="S55" s="19">
        <v>33</v>
      </c>
      <c r="T55" s="20">
        <f t="shared" si="11"/>
        <v>36875</v>
      </c>
      <c r="U55" s="20">
        <f t="shared" si="8"/>
        <v>4053.094001050998</v>
      </c>
      <c r="V55" s="20">
        <f t="shared" si="9"/>
        <v>133752.10203468293</v>
      </c>
    </row>
    <row r="56" spans="1:22" ht="14.4" x14ac:dyDescent="0.3">
      <c r="A56" s="6" t="s">
        <v>62</v>
      </c>
      <c r="B56" s="8">
        <f>B11</f>
        <v>6.2600000000000003E-2</v>
      </c>
      <c r="F56" s="91" t="s">
        <v>63</v>
      </c>
      <c r="G56" s="91"/>
      <c r="M56" s="19">
        <v>34</v>
      </c>
      <c r="N56" s="20">
        <f t="shared" si="10"/>
        <v>35625</v>
      </c>
      <c r="O56" s="20">
        <f t="shared" si="6"/>
        <v>3673.9366921140081</v>
      </c>
      <c r="P56" s="20">
        <f t="shared" si="7"/>
        <v>124913.84753187628</v>
      </c>
      <c r="S56" s="19">
        <v>34</v>
      </c>
      <c r="T56" s="20">
        <f t="shared" si="11"/>
        <v>36875</v>
      </c>
      <c r="U56" s="20">
        <f t="shared" si="8"/>
        <v>3790.7725411999613</v>
      </c>
      <c r="V56" s="20">
        <f t="shared" si="9"/>
        <v>128886.26640079869</v>
      </c>
    </row>
    <row r="57" spans="1:22" ht="14.4" x14ac:dyDescent="0.3">
      <c r="A57" s="6" t="s">
        <v>37</v>
      </c>
      <c r="B57" s="8">
        <f>C11</f>
        <v>6.7900000000000002E-2</v>
      </c>
      <c r="F57" s="58" t="s">
        <v>61</v>
      </c>
      <c r="G57" s="25">
        <f t="shared" ref="G57:G62" si="14">B54</f>
        <v>200000000</v>
      </c>
      <c r="M57" s="19">
        <v>34.200000000000003</v>
      </c>
      <c r="N57" s="20">
        <f>N56+1000000</f>
        <v>1035625</v>
      </c>
      <c r="O57" s="30">
        <f t="shared" si="6"/>
        <v>105384.23694323411</v>
      </c>
      <c r="P57" s="30">
        <f t="shared" si="7"/>
        <v>3604140.9034586069</v>
      </c>
      <c r="S57" s="19">
        <v>35</v>
      </c>
      <c r="T57" s="20">
        <f t="shared" si="11"/>
        <v>36875</v>
      </c>
      <c r="U57" s="20">
        <f t="shared" si="8"/>
        <v>3545.4288638233838</v>
      </c>
      <c r="V57" s="20">
        <f t="shared" si="9"/>
        <v>124090.01023381844</v>
      </c>
    </row>
    <row r="58" spans="1:22" ht="14.4" x14ac:dyDescent="0.3">
      <c r="A58" s="6" t="s">
        <v>64</v>
      </c>
      <c r="B58" s="26">
        <f>D11</f>
        <v>6.9099999999999995E-2</v>
      </c>
      <c r="F58" s="58" t="s">
        <v>65</v>
      </c>
      <c r="G58" s="19">
        <f>B55</f>
        <v>2</v>
      </c>
      <c r="O58" s="20">
        <f>SUM(O23:O57)</f>
        <v>567772.99682581029</v>
      </c>
      <c r="P58" s="20">
        <f>SUM(P23:P57)</f>
        <v>8950392.3601675257</v>
      </c>
      <c r="S58" s="19">
        <v>36</v>
      </c>
      <c r="T58" s="20">
        <f t="shared" si="11"/>
        <v>36875</v>
      </c>
      <c r="U58" s="20">
        <f>T58/(1+$T$17)^S58</f>
        <v>3315.9641449900714</v>
      </c>
      <c r="V58" s="20">
        <f t="shared" si="9"/>
        <v>119374.70921964257</v>
      </c>
    </row>
    <row r="59" spans="1:22" ht="14.4" x14ac:dyDescent="0.3">
      <c r="A59" s="21" t="s">
        <v>66</v>
      </c>
      <c r="B59" s="27">
        <f>E11</f>
        <v>6.9199999999999998E-2</v>
      </c>
      <c r="F59" s="58" t="s">
        <v>62</v>
      </c>
      <c r="G59" s="27">
        <f t="shared" si="14"/>
        <v>6.2600000000000003E-2</v>
      </c>
      <c r="O59" s="100" t="s">
        <v>24</v>
      </c>
      <c r="P59" s="19">
        <f>P58/O58</f>
        <v>15.764033179114818</v>
      </c>
      <c r="S59" s="19">
        <v>37</v>
      </c>
      <c r="T59" s="20">
        <f>$T$23</f>
        <v>36875</v>
      </c>
      <c r="U59" s="20">
        <f>T59/(1+$T$17)^S59</f>
        <v>3101.3506780677812</v>
      </c>
      <c r="V59" s="20">
        <f>U59*S59</f>
        <v>114749.97508850791</v>
      </c>
    </row>
    <row r="60" spans="1:22" ht="14.4" x14ac:dyDescent="0.3">
      <c r="B60" s="1"/>
      <c r="F60" s="58" t="s">
        <v>37</v>
      </c>
      <c r="G60" s="27">
        <f t="shared" si="14"/>
        <v>6.7900000000000002E-2</v>
      </c>
      <c r="O60" s="100"/>
      <c r="P60" s="19">
        <f>P59/2</f>
        <v>7.8820165895574092</v>
      </c>
      <c r="S60" s="19">
        <v>38</v>
      </c>
      <c r="T60" s="20">
        <f>$T$23</f>
        <v>36875</v>
      </c>
      <c r="U60" s="20">
        <f>T60/(1+$T$17)^S60</f>
        <v>2900.6272709201103</v>
      </c>
      <c r="V60" s="20">
        <f>U60*S60</f>
        <v>110223.83629496419</v>
      </c>
    </row>
    <row r="61" spans="1:22" ht="14.4" x14ac:dyDescent="0.3">
      <c r="B61" s="1"/>
      <c r="D61" s="16"/>
      <c r="F61" s="58" t="s">
        <v>64</v>
      </c>
      <c r="G61" s="27">
        <f t="shared" si="14"/>
        <v>6.9099999999999995E-2</v>
      </c>
      <c r="O61" s="18"/>
      <c r="P61" s="18"/>
      <c r="S61" s="19">
        <v>39</v>
      </c>
      <c r="T61" s="20">
        <f>$T$23</f>
        <v>36875</v>
      </c>
      <c r="U61" s="20">
        <f>T61/(1+$T$17)^S61</f>
        <v>2712.8949410027221</v>
      </c>
      <c r="V61" s="20">
        <f>U61*S61</f>
        <v>105802.90269910617</v>
      </c>
    </row>
    <row r="62" spans="1:22" ht="15" customHeight="1" x14ac:dyDescent="0.3">
      <c r="F62" s="58" t="s">
        <v>66</v>
      </c>
      <c r="G62" s="27">
        <f t="shared" si="14"/>
        <v>6.9199999999999998E-2</v>
      </c>
      <c r="S62" s="19">
        <v>40</v>
      </c>
      <c r="T62" s="20">
        <f t="shared" si="11"/>
        <v>36875</v>
      </c>
      <c r="U62" s="20">
        <f t="shared" si="8"/>
        <v>2537.3128890784906</v>
      </c>
      <c r="V62" s="20">
        <f t="shared" si="9"/>
        <v>101492.51556313962</v>
      </c>
    </row>
    <row r="63" spans="1:22" ht="14.4" x14ac:dyDescent="0.3">
      <c r="S63" s="19">
        <v>41</v>
      </c>
      <c r="T63" s="20">
        <f t="shared" si="11"/>
        <v>36875</v>
      </c>
      <c r="U63" s="20">
        <f t="shared" si="8"/>
        <v>2373.0947335189776</v>
      </c>
      <c r="V63" s="20">
        <f t="shared" si="9"/>
        <v>97296.884074278089</v>
      </c>
    </row>
    <row r="64" spans="1:22" ht="14.4" x14ac:dyDescent="0.3">
      <c r="A64" s="94" t="s">
        <v>38</v>
      </c>
      <c r="B64" s="94"/>
      <c r="C64" s="94"/>
      <c r="D64" s="94"/>
      <c r="S64" s="19">
        <v>42</v>
      </c>
      <c r="T64" s="20">
        <f t="shared" ref="T64:T70" si="15">$T$23</f>
        <v>36875</v>
      </c>
      <c r="U64" s="20">
        <f t="shared" ref="U64:U70" si="16">T64/(1+$T$17)^S64</f>
        <v>2219.5049883267661</v>
      </c>
      <c r="V64" s="20">
        <f>U64*S64</f>
        <v>93219.209509724184</v>
      </c>
    </row>
    <row r="65" spans="1:22" ht="14.4" x14ac:dyDescent="0.3">
      <c r="A65" s="57" t="s">
        <v>67</v>
      </c>
      <c r="B65" s="57" t="s">
        <v>40</v>
      </c>
      <c r="C65" s="57" t="s">
        <v>41</v>
      </c>
      <c r="D65" s="57" t="s">
        <v>22</v>
      </c>
      <c r="S65" s="19">
        <v>43</v>
      </c>
      <c r="T65" s="20">
        <f t="shared" si="15"/>
        <v>36875</v>
      </c>
      <c r="U65" s="20">
        <f t="shared" si="16"/>
        <v>2075.855769104719</v>
      </c>
      <c r="V65" s="20">
        <f>U65*S65</f>
        <v>89261.798071502912</v>
      </c>
    </row>
    <row r="66" spans="1:22" ht="14.4" x14ac:dyDescent="0.3">
      <c r="A66" s="72" t="s">
        <v>55</v>
      </c>
      <c r="B66" s="25">
        <f>C48*$B$54</f>
        <v>16946836.421479583</v>
      </c>
      <c r="C66" s="25">
        <f>D48*$B$54</f>
        <v>183053163.57852042</v>
      </c>
      <c r="D66" s="25">
        <f>C66+B66</f>
        <v>200000000</v>
      </c>
      <c r="S66" s="19">
        <v>44</v>
      </c>
      <c r="T66" s="20">
        <f t="shared" si="15"/>
        <v>36875</v>
      </c>
      <c r="U66" s="20">
        <f t="shared" si="16"/>
        <v>1941.5037122191543</v>
      </c>
      <c r="V66" s="20">
        <f>U66*S66</f>
        <v>85426.163337642793</v>
      </c>
    </row>
    <row r="67" spans="1:22" ht="14.4" x14ac:dyDescent="0.3">
      <c r="A67" s="72" t="s">
        <v>56</v>
      </c>
      <c r="B67" s="25">
        <f t="shared" ref="B67:C71" si="17">C49*$B$54</f>
        <v>29521488.580176335</v>
      </c>
      <c r="C67" s="25">
        <f>D49*$B$54</f>
        <v>170478511.41982368</v>
      </c>
      <c r="D67" s="25">
        <f t="shared" ref="D67:D71" si="18">C67+B67</f>
        <v>200000000</v>
      </c>
      <c r="S67" s="19">
        <v>45</v>
      </c>
      <c r="T67" s="20">
        <f t="shared" si="15"/>
        <v>36875</v>
      </c>
      <c r="U67" s="20">
        <f t="shared" si="16"/>
        <v>1815.8470933587305</v>
      </c>
      <c r="V67" s="20">
        <f>U67*S67</f>
        <v>81713.119201142865</v>
      </c>
    </row>
    <row r="68" spans="1:22" ht="14.4" x14ac:dyDescent="0.3">
      <c r="A68" s="72" t="s">
        <v>57</v>
      </c>
      <c r="B68" s="25">
        <f t="shared" si="17"/>
        <v>32435378.464708276</v>
      </c>
      <c r="C68" s="25">
        <f t="shared" si="17"/>
        <v>167564621.53529173</v>
      </c>
      <c r="D68" s="25">
        <f t="shared" si="18"/>
        <v>200000000</v>
      </c>
      <c r="S68" s="19">
        <v>46</v>
      </c>
      <c r="T68" s="20">
        <f t="shared" si="15"/>
        <v>36875</v>
      </c>
      <c r="U68" s="20">
        <f t="shared" si="16"/>
        <v>1698.3231325839231</v>
      </c>
      <c r="V68" s="20">
        <f>U68*S68</f>
        <v>78122.86409886046</v>
      </c>
    </row>
    <row r="69" spans="1:22" ht="14.4" x14ac:dyDescent="0.3">
      <c r="A69" s="72" t="s">
        <v>58</v>
      </c>
      <c r="B69" s="25">
        <f t="shared" si="17"/>
        <v>117363239.54406205</v>
      </c>
      <c r="C69" s="25">
        <f t="shared" si="17"/>
        <v>82636760.455937952</v>
      </c>
      <c r="D69" s="25">
        <f t="shared" si="18"/>
        <v>200000000</v>
      </c>
      <c r="S69" s="19">
        <v>47</v>
      </c>
      <c r="T69" s="20">
        <f t="shared" si="15"/>
        <v>36875</v>
      </c>
      <c r="U69" s="20">
        <f t="shared" si="16"/>
        <v>1588.4054737971599</v>
      </c>
      <c r="V69" s="20">
        <f t="shared" si="9"/>
        <v>74655.057268466509</v>
      </c>
    </row>
    <row r="70" spans="1:22" ht="14.4" x14ac:dyDescent="0.3">
      <c r="A70" s="72" t="s">
        <v>59</v>
      </c>
      <c r="B70" s="25">
        <f t="shared" si="17"/>
        <v>122706744.79106583</v>
      </c>
      <c r="C70" s="25">
        <f t="shared" si="17"/>
        <v>77293255.208934188</v>
      </c>
      <c r="D70" s="25">
        <f t="shared" si="18"/>
        <v>200000000</v>
      </c>
      <c r="S70" s="19">
        <v>48</v>
      </c>
      <c r="T70" s="20">
        <f t="shared" si="15"/>
        <v>36875</v>
      </c>
      <c r="U70" s="20">
        <f t="shared" si="16"/>
        <v>1485.6018273448935</v>
      </c>
      <c r="V70" s="20">
        <f>U70*S70</f>
        <v>71308.88771255489</v>
      </c>
    </row>
    <row r="71" spans="1:22" ht="14.4" x14ac:dyDescent="0.3">
      <c r="A71" s="72" t="s">
        <v>60</v>
      </c>
      <c r="B71" s="25">
        <f t="shared" si="17"/>
        <v>184634059.37899143</v>
      </c>
      <c r="C71" s="25">
        <f t="shared" si="17"/>
        <v>15365940.621008573</v>
      </c>
      <c r="D71" s="25">
        <f t="shared" si="18"/>
        <v>200000000</v>
      </c>
      <c r="S71" s="19">
        <v>49</v>
      </c>
      <c r="T71" s="20">
        <f t="shared" si="11"/>
        <v>36875</v>
      </c>
      <c r="U71" s="20">
        <f t="shared" si="8"/>
        <v>1389.451765193503</v>
      </c>
      <c r="V71" s="20">
        <f t="shared" si="9"/>
        <v>68083.136494481645</v>
      </c>
    </row>
    <row r="72" spans="1:22" ht="15" customHeight="1" x14ac:dyDescent="0.3">
      <c r="S72" s="19">
        <v>50</v>
      </c>
      <c r="T72" s="20">
        <f t="shared" si="11"/>
        <v>36875</v>
      </c>
      <c r="U72" s="20">
        <f t="shared" si="8"/>
        <v>1299.5246588042492</v>
      </c>
      <c r="V72" s="20">
        <f t="shared" si="9"/>
        <v>64976.23294021246</v>
      </c>
    </row>
    <row r="73" spans="1:22" ht="15" customHeight="1" x14ac:dyDescent="0.3">
      <c r="S73" s="19">
        <v>51</v>
      </c>
      <c r="T73" s="20">
        <f t="shared" si="11"/>
        <v>36875</v>
      </c>
      <c r="U73" s="20">
        <f t="shared" si="8"/>
        <v>1215.4177504716135</v>
      </c>
      <c r="V73" s="20">
        <f t="shared" si="9"/>
        <v>61986.305274052291</v>
      </c>
    </row>
    <row r="74" spans="1:22" ht="14.4" x14ac:dyDescent="0.3">
      <c r="A74" s="85" t="s">
        <v>42</v>
      </c>
      <c r="B74" s="85"/>
      <c r="C74" s="85"/>
      <c r="D74" s="85"/>
      <c r="S74" s="19">
        <v>52</v>
      </c>
      <c r="T74" s="20">
        <f t="shared" si="11"/>
        <v>36875</v>
      </c>
      <c r="U74" s="20">
        <f t="shared" si="8"/>
        <v>1136.7543494871061</v>
      </c>
      <c r="V74" s="20">
        <f t="shared" si="9"/>
        <v>59111.226173329516</v>
      </c>
    </row>
    <row r="75" spans="1:22" ht="14.4" x14ac:dyDescent="0.3">
      <c r="A75" s="48" t="s">
        <v>43</v>
      </c>
      <c r="B75" s="48" t="s">
        <v>40</v>
      </c>
      <c r="C75" s="48" t="s">
        <v>41</v>
      </c>
      <c r="D75" s="48" t="s">
        <v>22</v>
      </c>
      <c r="S75" s="19">
        <v>53</v>
      </c>
      <c r="T75" s="20">
        <f t="shared" si="11"/>
        <v>36875</v>
      </c>
      <c r="U75" s="20">
        <f t="shared" si="8"/>
        <v>1063.1821450496693</v>
      </c>
      <c r="V75" s="20">
        <f t="shared" si="9"/>
        <v>56348.653687632475</v>
      </c>
    </row>
    <row r="76" spans="1:22" ht="14.4" x14ac:dyDescent="0.3">
      <c r="A76" s="72" t="s">
        <v>55</v>
      </c>
      <c r="B76" s="11">
        <f>B66/(1+B56/2)^($B$55*2)</f>
        <v>14981267.768462075</v>
      </c>
      <c r="C76" s="11">
        <f>C66/(1+B57/2)^($B$55*2)</f>
        <v>160169230.34631243</v>
      </c>
      <c r="D76" s="11">
        <f>SUM(B76:C76)</f>
        <v>175150498.1147745</v>
      </c>
      <c r="S76" s="19">
        <v>54</v>
      </c>
      <c r="T76" s="20">
        <f t="shared" si="11"/>
        <v>36875</v>
      </c>
      <c r="U76" s="20">
        <f t="shared" si="8"/>
        <v>994.37162836669415</v>
      </c>
      <c r="V76" s="20">
        <f t="shared" si="9"/>
        <v>53696.067931801481</v>
      </c>
    </row>
    <row r="77" spans="1:22" ht="14.4" x14ac:dyDescent="0.3">
      <c r="A77" s="72" t="s">
        <v>56</v>
      </c>
      <c r="B77" s="11">
        <f>B67/(1+B56/2)^($B$55*2)</f>
        <v>26097456.442233339</v>
      </c>
      <c r="C77" s="11">
        <f>C67/(1+B58/2)^($B$55*2)</f>
        <v>148820823.84454051</v>
      </c>
      <c r="D77" s="11">
        <f t="shared" ref="D77:D81" si="19">SUM(B77:C77)</f>
        <v>174918280.28677386</v>
      </c>
      <c r="S77" s="19">
        <v>54.4</v>
      </c>
      <c r="T77" s="20">
        <f>T76+1000000</f>
        <v>1036875</v>
      </c>
      <c r="U77" s="30">
        <f>T77/(1+$T$17)^S77</f>
        <v>27221.967977689408</v>
      </c>
      <c r="V77" s="30">
        <f>U77*S77</f>
        <v>1480875.0579863037</v>
      </c>
    </row>
    <row r="78" spans="1:22" ht="14.4" x14ac:dyDescent="0.3">
      <c r="A78" s="72" t="s">
        <v>57</v>
      </c>
      <c r="B78" s="11">
        <f>B68/(1+B56/2)^($B$55*2)</f>
        <v>28673380.557052568</v>
      </c>
      <c r="C78" s="11">
        <f>C68/(1+B59/2)^($B$55*2)</f>
        <v>146248841.2092385</v>
      </c>
      <c r="D78" s="11">
        <f>SUM(B78:C78)</f>
        <v>174922221.76629108</v>
      </c>
      <c r="T78" s="18"/>
      <c r="U78" s="20">
        <f>SUM(U23:U77)</f>
        <v>545728.15831921203</v>
      </c>
      <c r="V78" s="30">
        <f>SUM(V23:V77)</f>
        <v>8716290.5317053143</v>
      </c>
    </row>
    <row r="79" spans="1:22" ht="14.4" x14ac:dyDescent="0.3">
      <c r="A79" s="72" t="s">
        <v>58</v>
      </c>
      <c r="B79" s="11">
        <f>B69/(1+B57/2)^($B$55*2)</f>
        <v>102691367.80397105</v>
      </c>
      <c r="C79" s="11">
        <f>C69/(1+B58/2)^($B$55*2)</f>
        <v>72138539.153542742</v>
      </c>
      <c r="D79" s="11">
        <f t="shared" si="19"/>
        <v>174829906.95751381</v>
      </c>
      <c r="T79" s="18"/>
      <c r="U79" s="18"/>
      <c r="V79" s="19">
        <f>V78/U78</f>
        <v>15.97185411606873</v>
      </c>
    </row>
    <row r="80" spans="1:22" ht="14.4" x14ac:dyDescent="0.3">
      <c r="A80" s="72" t="s">
        <v>59</v>
      </c>
      <c r="B80" s="11">
        <f>B70/(1+B57/2)^($B$55*2)</f>
        <v>107366868.11236618</v>
      </c>
      <c r="C80" s="11">
        <f>C70/(1+B59/2)^($B$55*2)</f>
        <v>67460833.343127578</v>
      </c>
      <c r="D80" s="11">
        <f t="shared" si="19"/>
        <v>174827701.45549375</v>
      </c>
      <c r="T80" s="18"/>
      <c r="U80" s="18"/>
      <c r="V80" s="19">
        <f>V79/2</f>
        <v>7.9859270580343651</v>
      </c>
    </row>
    <row r="81" spans="1:22" ht="14.4" x14ac:dyDescent="0.3">
      <c r="A81" s="72" t="s">
        <v>60</v>
      </c>
      <c r="B81" s="11">
        <f>B71/(1+B59/2)^($B$55*2)</f>
        <v>161146887.59791741</v>
      </c>
      <c r="C81" s="11">
        <f>C71/(1+B59/2)^($B$55*2)</f>
        <v>13411249.876747783</v>
      </c>
      <c r="D81" s="11">
        <f t="shared" si="19"/>
        <v>174558137.47466519</v>
      </c>
      <c r="T81" s="18"/>
      <c r="U81" s="18"/>
      <c r="V81" s="18"/>
    </row>
    <row r="82" spans="1:22" ht="14.4" x14ac:dyDescent="0.3">
      <c r="B82" s="2"/>
      <c r="C82" s="2"/>
      <c r="D82" s="2"/>
      <c r="T82" s="18"/>
      <c r="U82" s="18"/>
      <c r="V82" s="18"/>
    </row>
    <row r="83" spans="1:22" ht="14.4" x14ac:dyDescent="0.3">
      <c r="B83" s="2"/>
      <c r="C83" s="2"/>
      <c r="D83" s="2"/>
      <c r="T83" s="18"/>
      <c r="U83" s="18"/>
      <c r="V83" s="18"/>
    </row>
    <row r="84" spans="1:22" ht="15" customHeight="1" x14ac:dyDescent="0.3">
      <c r="T84" s="18"/>
      <c r="U84" s="18"/>
      <c r="V84" s="18"/>
    </row>
    <row r="85" spans="1:22" ht="15" customHeight="1" x14ac:dyDescent="0.3">
      <c r="T85" s="18"/>
      <c r="U85" s="18"/>
      <c r="V85" s="18"/>
    </row>
    <row r="86" spans="1:22" ht="14.4" x14ac:dyDescent="0.3">
      <c r="A86" t="s">
        <v>44</v>
      </c>
      <c r="T86" s="18"/>
      <c r="U86" s="18"/>
      <c r="V86" s="18"/>
    </row>
    <row r="87" spans="1:22" ht="15" customHeight="1" x14ac:dyDescent="0.3">
      <c r="T87" s="18"/>
      <c r="U87" s="18"/>
      <c r="V87" s="18"/>
    </row>
    <row r="88" spans="1:22" ht="14.4" x14ac:dyDescent="0.3">
      <c r="A88" s="81" t="s">
        <v>55</v>
      </c>
      <c r="B88" s="74" t="s">
        <v>27</v>
      </c>
      <c r="C88" s="33">
        <f>C48</f>
        <v>8.4734182107397915E-2</v>
      </c>
      <c r="D88" s="25">
        <f>C88*D76</f>
        <v>14841234.203458758</v>
      </c>
      <c r="E88" s="83">
        <f>SUM(D88:D89)</f>
        <v>175150498.1147745</v>
      </c>
      <c r="T88" s="18"/>
      <c r="U88" s="18"/>
      <c r="V88" s="18"/>
    </row>
    <row r="89" spans="1:22" ht="14.4" x14ac:dyDescent="0.3">
      <c r="A89" s="82"/>
      <c r="B89" s="74" t="s">
        <v>28</v>
      </c>
      <c r="C89" s="33">
        <f>D48</f>
        <v>0.91526581789260208</v>
      </c>
      <c r="D89" s="25">
        <f>C89*D76</f>
        <v>160309263.91131574</v>
      </c>
      <c r="E89" s="84"/>
      <c r="T89" s="18"/>
      <c r="U89" s="18"/>
      <c r="V89" s="18"/>
    </row>
    <row r="90" spans="1:22" ht="15" customHeight="1" x14ac:dyDescent="0.3">
      <c r="A90" s="74"/>
      <c r="B90" s="74"/>
      <c r="C90" s="19"/>
      <c r="D90" s="19"/>
      <c r="E90" s="73"/>
      <c r="T90" s="18"/>
      <c r="U90" s="18"/>
      <c r="V90" s="18"/>
    </row>
    <row r="91" spans="1:22" ht="14.4" x14ac:dyDescent="0.3">
      <c r="A91" s="81" t="s">
        <v>56</v>
      </c>
      <c r="B91" s="74" t="s">
        <v>27</v>
      </c>
      <c r="C91" s="33">
        <f>C49</f>
        <v>0.14760744290088168</v>
      </c>
      <c r="D91" s="25">
        <f>C91*D77</f>
        <v>25819240.069750391</v>
      </c>
      <c r="E91" s="83">
        <f>SUM(D91:D92)</f>
        <v>174918280.28677386</v>
      </c>
      <c r="T91" s="18"/>
      <c r="U91" s="18"/>
      <c r="V91" s="18"/>
    </row>
    <row r="92" spans="1:22" ht="14.4" x14ac:dyDescent="0.3">
      <c r="A92" s="82"/>
      <c r="B92" s="74" t="s">
        <v>28</v>
      </c>
      <c r="C92" s="33">
        <f>D49</f>
        <v>0.85239255709911832</v>
      </c>
      <c r="D92" s="25">
        <f>C92*D77</f>
        <v>149099040.21702346</v>
      </c>
      <c r="E92" s="84"/>
      <c r="U92" s="18"/>
      <c r="V92" s="18"/>
    </row>
    <row r="93" spans="1:22" ht="15" customHeight="1" x14ac:dyDescent="0.3">
      <c r="A93" s="74"/>
      <c r="B93" s="74"/>
      <c r="C93" s="19"/>
      <c r="D93" s="19"/>
      <c r="E93" s="73"/>
    </row>
    <row r="94" spans="1:22" ht="14.4" x14ac:dyDescent="0.3">
      <c r="A94" s="81" t="s">
        <v>57</v>
      </c>
      <c r="B94" s="74" t="s">
        <v>27</v>
      </c>
      <c r="C94" s="33">
        <f>C50</f>
        <v>0.16217689232354138</v>
      </c>
      <c r="D94" s="25">
        <f>C94*D78</f>
        <v>28368342.324386414</v>
      </c>
      <c r="E94" s="83">
        <f>SUM(D94:D95)</f>
        <v>174922221.76629108</v>
      </c>
    </row>
    <row r="95" spans="1:22" ht="14.4" x14ac:dyDescent="0.3">
      <c r="A95" s="82"/>
      <c r="B95" s="74" t="s">
        <v>28</v>
      </c>
      <c r="C95" s="33">
        <f>D50</f>
        <v>0.83782310767645862</v>
      </c>
      <c r="D95" s="25">
        <f>C95*D78</f>
        <v>146553879.44190466</v>
      </c>
      <c r="E95" s="84"/>
    </row>
    <row r="96" spans="1:22" ht="14.4" x14ac:dyDescent="0.3">
      <c r="A96" s="74"/>
      <c r="B96" s="74"/>
      <c r="C96" s="33"/>
      <c r="D96" s="25"/>
      <c r="E96" s="74"/>
    </row>
    <row r="97" spans="1:6" ht="14.4" x14ac:dyDescent="0.3">
      <c r="A97" s="81" t="s">
        <v>58</v>
      </c>
      <c r="B97" s="74" t="s">
        <v>27</v>
      </c>
      <c r="C97" s="33">
        <f>C50</f>
        <v>0.16217689232354138</v>
      </c>
      <c r="D97" s="25">
        <f>C97*D79</f>
        <v>28353370.995583475</v>
      </c>
      <c r="E97" s="83">
        <f>SUM(D97:D98)</f>
        <v>174829906.95751381</v>
      </c>
    </row>
    <row r="98" spans="1:6" ht="14.4" x14ac:dyDescent="0.3">
      <c r="A98" s="82"/>
      <c r="B98" s="74" t="s">
        <v>28</v>
      </c>
      <c r="C98" s="33">
        <f>D50</f>
        <v>0.83782310767645862</v>
      </c>
      <c r="D98" s="25">
        <f>C98*D79</f>
        <v>146476535.96193033</v>
      </c>
      <c r="E98" s="84"/>
    </row>
    <row r="99" spans="1:6" ht="14.4" x14ac:dyDescent="0.3">
      <c r="A99" s="74"/>
      <c r="B99" s="74"/>
      <c r="C99" s="33"/>
      <c r="D99" s="25"/>
      <c r="E99" s="74"/>
    </row>
    <row r="100" spans="1:6" ht="14.4" x14ac:dyDescent="0.3">
      <c r="A100" s="81" t="s">
        <v>59</v>
      </c>
      <c r="B100" s="74" t="s">
        <v>27</v>
      </c>
      <c r="C100" s="33">
        <f>C51</f>
        <v>0.58681619772031024</v>
      </c>
      <c r="D100" s="25">
        <f>C100*D80</f>
        <v>102591727.02429439</v>
      </c>
      <c r="E100" s="83">
        <f>SUM(D100:D101)</f>
        <v>174827701.45549375</v>
      </c>
    </row>
    <row r="101" spans="1:6" ht="14.4" x14ac:dyDescent="0.3">
      <c r="A101" s="82"/>
      <c r="B101" s="74" t="s">
        <v>28</v>
      </c>
      <c r="C101" s="33">
        <f>D51</f>
        <v>0.41318380227968976</v>
      </c>
      <c r="D101" s="25">
        <f>C101*D80</f>
        <v>72235974.431199357</v>
      </c>
      <c r="E101" s="84"/>
    </row>
    <row r="102" spans="1:6" ht="14.4" x14ac:dyDescent="0.3">
      <c r="A102" s="74"/>
      <c r="B102" s="74"/>
      <c r="C102" s="33"/>
      <c r="D102" s="25"/>
      <c r="E102" s="74"/>
    </row>
    <row r="103" spans="1:6" ht="14.4" x14ac:dyDescent="0.3">
      <c r="A103" s="81" t="s">
        <v>60</v>
      </c>
      <c r="B103" s="74" t="s">
        <v>27</v>
      </c>
      <c r="C103" s="33">
        <f>C53</f>
        <v>0.92317029689495711</v>
      </c>
      <c r="D103" s="25">
        <f>C103*D81</f>
        <v>161146887.59791741</v>
      </c>
      <c r="E103" s="83">
        <f>SUM(D103:D104)</f>
        <v>174558137.47466519</v>
      </c>
    </row>
    <row r="104" spans="1:6" ht="14.4" x14ac:dyDescent="0.3">
      <c r="A104" s="82"/>
      <c r="B104" s="74" t="s">
        <v>28</v>
      </c>
      <c r="C104" s="33">
        <f>D53</f>
        <v>7.6829703105042862E-2</v>
      </c>
      <c r="D104" s="25">
        <f>C104*D81</f>
        <v>13411249.876747783</v>
      </c>
      <c r="E104" s="84"/>
    </row>
    <row r="107" spans="1:6" ht="14.4" x14ac:dyDescent="0.3">
      <c r="A107" t="s">
        <v>46</v>
      </c>
    </row>
    <row r="110" spans="1:6" ht="14.4" x14ac:dyDescent="0.3">
      <c r="A110" s="81" t="s">
        <v>55</v>
      </c>
      <c r="B110" s="74" t="s">
        <v>52</v>
      </c>
      <c r="C110" s="27">
        <f>B5</f>
        <v>0.98199999999999998</v>
      </c>
      <c r="D110" s="77">
        <v>1000000</v>
      </c>
      <c r="E110" s="78">
        <f>C110*D110</f>
        <v>982000</v>
      </c>
      <c r="F110" s="80">
        <f>_xlfn.CEILING.MATH(D88/E110)</f>
        <v>16</v>
      </c>
    </row>
    <row r="111" spans="1:6" ht="14.4" x14ac:dyDescent="0.3">
      <c r="A111" s="82"/>
      <c r="B111" s="74" t="s">
        <v>3</v>
      </c>
      <c r="C111" s="27">
        <f>C5</f>
        <v>1.091</v>
      </c>
      <c r="D111" s="77">
        <v>1000000</v>
      </c>
      <c r="E111" s="78">
        <f>C111*D111</f>
        <v>1091000</v>
      </c>
      <c r="F111" s="80">
        <f>_xlfn.CEILING.MATH(D89/E111)</f>
        <v>147</v>
      </c>
    </row>
    <row r="112" spans="1:6" ht="15" customHeight="1" x14ac:dyDescent="0.3">
      <c r="A112" s="74"/>
      <c r="B112" s="74"/>
      <c r="C112" s="19"/>
      <c r="D112" s="19"/>
      <c r="E112" s="19"/>
      <c r="F112" s="79"/>
    </row>
    <row r="113" spans="1:6" ht="14.4" x14ac:dyDescent="0.3">
      <c r="A113" s="81" t="s">
        <v>56</v>
      </c>
      <c r="B113" s="74" t="s">
        <v>52</v>
      </c>
      <c r="C113" s="27">
        <f>B5</f>
        <v>0.98199999999999998</v>
      </c>
      <c r="D113" s="77">
        <v>1000000</v>
      </c>
      <c r="E113" s="78">
        <f>C113*D113</f>
        <v>982000</v>
      </c>
      <c r="F113" s="80">
        <f>_xlfn.CEILING.MATH(D91/E113)</f>
        <v>27</v>
      </c>
    </row>
    <row r="114" spans="1:6" ht="14.4" x14ac:dyDescent="0.3">
      <c r="A114" s="82"/>
      <c r="B114" s="74" t="s">
        <v>53</v>
      </c>
      <c r="C114" s="27">
        <f>D5</f>
        <v>1.0209999999999999</v>
      </c>
      <c r="D114" s="77">
        <v>1000000</v>
      </c>
      <c r="E114" s="78">
        <f>C114*D114</f>
        <v>1020999.9999999999</v>
      </c>
      <c r="F114" s="80">
        <f>_xlfn.CEILING.MATH(D92/E114)</f>
        <v>147</v>
      </c>
    </row>
    <row r="115" spans="1:6" ht="15" customHeight="1" x14ac:dyDescent="0.3">
      <c r="A115" s="74"/>
      <c r="B115" s="74"/>
      <c r="C115" s="19"/>
      <c r="D115" s="19"/>
      <c r="E115" s="19"/>
      <c r="F115" s="79"/>
    </row>
    <row r="116" spans="1:6" ht="14.4" x14ac:dyDescent="0.3">
      <c r="A116" s="81" t="s">
        <v>57</v>
      </c>
      <c r="B116" s="74" t="s">
        <v>52</v>
      </c>
      <c r="C116" s="27">
        <f>B5</f>
        <v>0.98199999999999998</v>
      </c>
      <c r="D116" s="77">
        <v>1000000</v>
      </c>
      <c r="E116" s="78">
        <f>C116*D116</f>
        <v>982000</v>
      </c>
      <c r="F116" s="80">
        <f>_xlfn.CEILING.MATH(D94/E116)</f>
        <v>29</v>
      </c>
    </row>
    <row r="117" spans="1:6" ht="14.4" x14ac:dyDescent="0.3">
      <c r="A117" s="82"/>
      <c r="B117" s="74" t="s">
        <v>68</v>
      </c>
      <c r="C117" s="27">
        <f>E5</f>
        <v>0.97750000000000004</v>
      </c>
      <c r="D117" s="77">
        <v>1000000</v>
      </c>
      <c r="E117" s="78">
        <f>C117*D117</f>
        <v>977500</v>
      </c>
      <c r="F117" s="80">
        <f>_xlfn.CEILING.MATH(D95/E117)</f>
        <v>150</v>
      </c>
    </row>
    <row r="118" spans="1:6" ht="15" customHeight="1" x14ac:dyDescent="0.3">
      <c r="A118" s="74"/>
      <c r="B118" s="74"/>
      <c r="C118" s="19"/>
      <c r="D118" s="19"/>
      <c r="E118" s="19"/>
      <c r="F118" s="79"/>
    </row>
    <row r="119" spans="1:6" ht="15" customHeight="1" x14ac:dyDescent="0.3">
      <c r="A119" s="81" t="s">
        <v>58</v>
      </c>
      <c r="B119" s="74" t="s">
        <v>3</v>
      </c>
      <c r="C119" s="27">
        <f>C5</f>
        <v>1.091</v>
      </c>
      <c r="D119" s="77">
        <v>1000000</v>
      </c>
      <c r="E119" s="78">
        <f>D119*C119</f>
        <v>1091000</v>
      </c>
      <c r="F119" s="80">
        <f>_xlfn.CEILING.MATH(D97/E119)</f>
        <v>26</v>
      </c>
    </row>
    <row r="120" spans="1:6" ht="15" customHeight="1" x14ac:dyDescent="0.3">
      <c r="A120" s="82"/>
      <c r="B120" s="74" t="s">
        <v>53</v>
      </c>
      <c r="C120" s="27">
        <f>D5</f>
        <v>1.0209999999999999</v>
      </c>
      <c r="D120" s="77">
        <v>1000000</v>
      </c>
      <c r="E120" s="78">
        <f>D120*C120</f>
        <v>1020999.9999999999</v>
      </c>
      <c r="F120" s="80">
        <f>_xlfn.CEILING.MATH(D98/E120)</f>
        <v>144</v>
      </c>
    </row>
    <row r="121" spans="1:6" ht="15" customHeight="1" x14ac:dyDescent="0.3">
      <c r="A121" s="74"/>
      <c r="B121" s="74"/>
      <c r="C121" s="19"/>
      <c r="D121" s="19"/>
      <c r="E121" s="19"/>
      <c r="F121" s="79"/>
    </row>
    <row r="122" spans="1:6" ht="15" customHeight="1" x14ac:dyDescent="0.3">
      <c r="A122" s="81" t="s">
        <v>59</v>
      </c>
      <c r="B122" s="74" t="s">
        <v>3</v>
      </c>
      <c r="C122" s="27">
        <f>C5</f>
        <v>1.091</v>
      </c>
      <c r="D122" s="77">
        <v>1000000</v>
      </c>
      <c r="E122" s="78">
        <f>D122*C122</f>
        <v>1091000</v>
      </c>
      <c r="F122" s="80">
        <f>_xlfn.CEILING.MATH(D100/E122)</f>
        <v>95</v>
      </c>
    </row>
    <row r="123" spans="1:6" ht="15" customHeight="1" x14ac:dyDescent="0.3">
      <c r="A123" s="82"/>
      <c r="B123" s="74" t="s">
        <v>68</v>
      </c>
      <c r="C123" s="27">
        <f>E5</f>
        <v>0.97750000000000004</v>
      </c>
      <c r="D123" s="77">
        <v>1000000</v>
      </c>
      <c r="E123" s="78">
        <f>D123*C123</f>
        <v>977500</v>
      </c>
      <c r="F123" s="80">
        <f>_xlfn.CEILING.MATH(D101/E123)</f>
        <v>74</v>
      </c>
    </row>
    <row r="124" spans="1:6" ht="15" customHeight="1" x14ac:dyDescent="0.3">
      <c r="A124" s="74"/>
      <c r="B124" s="74"/>
      <c r="C124" s="19"/>
      <c r="D124" s="19"/>
      <c r="E124" s="19"/>
      <c r="F124" s="79"/>
    </row>
    <row r="125" spans="1:6" ht="15" customHeight="1" x14ac:dyDescent="0.3">
      <c r="A125" s="81" t="s">
        <v>60</v>
      </c>
      <c r="B125" s="74" t="s">
        <v>53</v>
      </c>
      <c r="C125" s="27">
        <f>D5</f>
        <v>1.0209999999999999</v>
      </c>
      <c r="D125" s="77">
        <v>1000000</v>
      </c>
      <c r="E125" s="78">
        <f>D125*C125</f>
        <v>1020999.9999999999</v>
      </c>
      <c r="F125" s="80">
        <f>_xlfn.CEILING.MATH(D103/E125)</f>
        <v>158</v>
      </c>
    </row>
    <row r="126" spans="1:6" ht="15" customHeight="1" x14ac:dyDescent="0.3">
      <c r="A126" s="82"/>
      <c r="B126" s="74" t="s">
        <v>68</v>
      </c>
      <c r="C126" s="27">
        <f>E5</f>
        <v>0.97750000000000004</v>
      </c>
      <c r="D126" s="77">
        <v>1000000</v>
      </c>
      <c r="E126" s="78">
        <f>D126*C126</f>
        <v>977500</v>
      </c>
      <c r="F126" s="80">
        <f>_xlfn.CEILING.MATH(D104/E126)</f>
        <v>14</v>
      </c>
    </row>
    <row r="127" spans="1:6" ht="15" customHeight="1" x14ac:dyDescent="0.3">
      <c r="D127" s="4"/>
    </row>
  </sheetData>
  <mergeCells count="30">
    <mergeCell ref="A125:A126"/>
    <mergeCell ref="A110:A111"/>
    <mergeCell ref="A113:A114"/>
    <mergeCell ref="A116:A117"/>
    <mergeCell ref="A119:A120"/>
    <mergeCell ref="A122:A123"/>
    <mergeCell ref="A97:A98"/>
    <mergeCell ref="A100:A101"/>
    <mergeCell ref="A103:A104"/>
    <mergeCell ref="A94:A95"/>
    <mergeCell ref="A91:A92"/>
    <mergeCell ref="E103:E104"/>
    <mergeCell ref="E100:E101"/>
    <mergeCell ref="E97:E98"/>
    <mergeCell ref="I44:I45"/>
    <mergeCell ref="O59:O60"/>
    <mergeCell ref="F56:G56"/>
    <mergeCell ref="M14:N14"/>
    <mergeCell ref="S14:T14"/>
    <mergeCell ref="E91:E92"/>
    <mergeCell ref="E94:E95"/>
    <mergeCell ref="A14:B14"/>
    <mergeCell ref="G14:H14"/>
    <mergeCell ref="C28:C29"/>
    <mergeCell ref="C40:C41"/>
    <mergeCell ref="E88:E89"/>
    <mergeCell ref="A31:B31"/>
    <mergeCell ref="A64:D64"/>
    <mergeCell ref="A74:D74"/>
    <mergeCell ref="A88:A8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E536-741F-4446-88D5-D6940657469A}">
  <dimension ref="A1:AG624"/>
  <sheetViews>
    <sheetView zoomScale="92" workbookViewId="0">
      <selection activeCell="C3" sqref="C3"/>
    </sheetView>
  </sheetViews>
  <sheetFormatPr defaultRowHeight="14.4" x14ac:dyDescent="0.3"/>
  <cols>
    <col min="1" max="1" width="12.33203125" customWidth="1"/>
    <col min="17" max="17" width="16.5546875" customWidth="1"/>
    <col min="18" max="18" width="18.6640625" customWidth="1"/>
    <col min="19" max="19" width="12.6640625" bestFit="1" customWidth="1"/>
    <col min="20" max="20" width="19.33203125" customWidth="1"/>
    <col min="21" max="21" width="12.6640625" bestFit="1" customWidth="1"/>
    <col min="22" max="22" width="12" bestFit="1" customWidth="1"/>
    <col min="23" max="23" width="11.33203125" customWidth="1"/>
    <col min="24" max="24" width="14" customWidth="1"/>
    <col min="32" max="32" width="12.6640625" bestFit="1" customWidth="1"/>
  </cols>
  <sheetData>
    <row r="1" spans="1:33" x14ac:dyDescent="0.3">
      <c r="A1" t="s">
        <v>69</v>
      </c>
      <c r="B1" s="16" t="s">
        <v>52</v>
      </c>
      <c r="C1" s="16"/>
      <c r="D1" s="16" t="s">
        <v>3</v>
      </c>
      <c r="E1" s="16"/>
      <c r="F1" s="16" t="s">
        <v>53</v>
      </c>
      <c r="H1" t="s">
        <v>54</v>
      </c>
      <c r="X1">
        <v>0.05</v>
      </c>
      <c r="AB1" t="s">
        <v>70</v>
      </c>
    </row>
    <row r="2" spans="1:33" x14ac:dyDescent="0.3">
      <c r="B2" t="s">
        <v>71</v>
      </c>
      <c r="C2" t="s">
        <v>72</v>
      </c>
      <c r="D2" t="s">
        <v>71</v>
      </c>
      <c r="E2" t="s">
        <v>72</v>
      </c>
      <c r="F2" t="s">
        <v>71</v>
      </c>
      <c r="G2" t="s">
        <v>72</v>
      </c>
      <c r="H2" t="s">
        <v>71</v>
      </c>
      <c r="I2" t="s">
        <v>72</v>
      </c>
      <c r="X2">
        <v>100000000</v>
      </c>
      <c r="AB2" s="51">
        <v>1</v>
      </c>
      <c r="AC2" s="51">
        <v>2</v>
      </c>
      <c r="AD2" s="51">
        <v>3</v>
      </c>
      <c r="AE2" s="51">
        <v>4</v>
      </c>
      <c r="AF2" s="51">
        <v>5</v>
      </c>
      <c r="AG2" s="51">
        <v>6</v>
      </c>
    </row>
    <row r="3" spans="1:33" x14ac:dyDescent="0.3">
      <c r="A3" s="17">
        <v>45299</v>
      </c>
      <c r="B3">
        <v>99</v>
      </c>
      <c r="C3">
        <v>97.8</v>
      </c>
      <c r="D3">
        <v>113.3</v>
      </c>
      <c r="E3">
        <v>112.1</v>
      </c>
      <c r="F3">
        <v>102.8</v>
      </c>
      <c r="G3">
        <v>101.65</v>
      </c>
      <c r="H3">
        <v>99.55</v>
      </c>
      <c r="I3">
        <v>98.4</v>
      </c>
      <c r="K3" s="16" t="s">
        <v>52</v>
      </c>
      <c r="L3" s="16" t="s">
        <v>3</v>
      </c>
      <c r="M3" s="16" t="s">
        <v>53</v>
      </c>
      <c r="N3" t="s">
        <v>54</v>
      </c>
      <c r="AB3">
        <f t="shared" ref="AB3:AB66" si="0">K4*$S$108+L4*$T$108</f>
        <v>-3.1851351581681005E-3</v>
      </c>
      <c r="AC3">
        <f t="shared" ref="AC3:AC66" si="1">K4*$S$109+M4*$T$109</f>
        <v>1.8263157719455509E-3</v>
      </c>
      <c r="AD3">
        <f>K4*$S$110+N4*$T$110</f>
        <v>5.8643985905847498E-4</v>
      </c>
      <c r="AE3">
        <f t="shared" ref="AE3:AE66" si="2">L4*$S$111+M4*$T$111</f>
        <v>-1.2854921102940535E-3</v>
      </c>
      <c r="AF3">
        <f t="shared" ref="AF3:AF66" si="3">L4*$S$112+N4*$T$112</f>
        <v>-1.9990944881686937E-3</v>
      </c>
      <c r="AG3">
        <f>M4*$S$113+N4*$T$113</f>
        <v>1.8531647467090169E-3</v>
      </c>
    </row>
    <row r="4" spans="1:33" x14ac:dyDescent="0.3">
      <c r="A4" s="17">
        <v>45300</v>
      </c>
      <c r="B4">
        <v>99</v>
      </c>
      <c r="C4">
        <v>97.9</v>
      </c>
      <c r="D4">
        <v>113.2</v>
      </c>
      <c r="E4">
        <v>111.7</v>
      </c>
      <c r="F4">
        <v>102.85</v>
      </c>
      <c r="G4">
        <v>101.85</v>
      </c>
      <c r="H4">
        <v>99.6</v>
      </c>
      <c r="I4">
        <v>98.5</v>
      </c>
      <c r="K4">
        <f t="shared" ref="K4:K67" si="4">LN(C4/C3)</f>
        <v>1.0219724956931895E-3</v>
      </c>
      <c r="L4">
        <f t="shared" ref="L4:L67" si="5">LN(E4/E3)</f>
        <v>-3.574624002959134E-3</v>
      </c>
      <c r="M4">
        <f t="shared" ref="M4:M67" si="6">LN(G4/G3)</f>
        <v>1.9656025984591272E-3</v>
      </c>
      <c r="N4">
        <f t="shared" ref="N4:N67" si="7">LN(H4/H3)</f>
        <v>5.0213408034728124E-4</v>
      </c>
      <c r="AB4">
        <f t="shared" si="0"/>
        <v>1.7238350763461824E-3</v>
      </c>
      <c r="AC4">
        <f t="shared" si="1"/>
        <v>-2.6786087184905777E-4</v>
      </c>
      <c r="AD4">
        <f t="shared" ref="AD4:AD66" si="8">K5*$S$110+N5*$T$110</f>
        <v>-2.5512842141474021E-4</v>
      </c>
      <c r="AE4">
        <f t="shared" si="2"/>
        <v>8.4687174208622614E-4</v>
      </c>
      <c r="AF4">
        <f t="shared" si="3"/>
        <v>9.0349826140003332E-4</v>
      </c>
      <c r="AG4">
        <f t="shared" ref="AG4:AG67" si="9">M5*$S$113+N5*$T$113</f>
        <v>-4.9189102220369759E-4</v>
      </c>
    </row>
    <row r="5" spans="1:33" x14ac:dyDescent="0.3">
      <c r="A5" s="17">
        <v>45301</v>
      </c>
      <c r="B5">
        <v>99.1</v>
      </c>
      <c r="C5">
        <v>98</v>
      </c>
      <c r="D5">
        <v>113.2</v>
      </c>
      <c r="E5">
        <v>111.9</v>
      </c>
      <c r="F5">
        <v>103</v>
      </c>
      <c r="G5">
        <v>101.8</v>
      </c>
      <c r="H5">
        <v>99.55</v>
      </c>
      <c r="I5">
        <v>98.6</v>
      </c>
      <c r="K5">
        <f t="shared" si="4"/>
        <v>1.020929134107143E-3</v>
      </c>
      <c r="L5">
        <f t="shared" si="5"/>
        <v>1.7889092427246362E-3</v>
      </c>
      <c r="M5">
        <f t="shared" si="6"/>
        <v>-4.9103855639245518E-4</v>
      </c>
      <c r="N5">
        <f t="shared" si="7"/>
        <v>-5.0213408034725847E-4</v>
      </c>
      <c r="AB5">
        <f t="shared" si="0"/>
        <v>2.158833832930798E-4</v>
      </c>
      <c r="AC5">
        <f t="shared" si="1"/>
        <v>2.0490688080701787E-3</v>
      </c>
      <c r="AD5">
        <f t="shared" si="8"/>
        <v>3.7728859200257133E-3</v>
      </c>
      <c r="AE5">
        <f t="shared" si="2"/>
        <v>8.1095963674092711E-4</v>
      </c>
      <c r="AF5">
        <f t="shared" si="3"/>
        <v>1.5497415295054632E-3</v>
      </c>
      <c r="AG5">
        <f t="shared" si="9"/>
        <v>2.1200042530570506E-3</v>
      </c>
    </row>
    <row r="6" spans="1:33" x14ac:dyDescent="0.3">
      <c r="A6" s="17">
        <v>45302</v>
      </c>
      <c r="B6">
        <v>99.4</v>
      </c>
      <c r="C6">
        <v>98.25</v>
      </c>
      <c r="D6">
        <v>113.1</v>
      </c>
      <c r="E6">
        <v>111.9</v>
      </c>
      <c r="F6">
        <v>103</v>
      </c>
      <c r="G6">
        <v>102</v>
      </c>
      <c r="H6">
        <v>99.95</v>
      </c>
      <c r="I6">
        <v>98.8</v>
      </c>
      <c r="K6">
        <f t="shared" si="4"/>
        <v>2.5477720787987828E-3</v>
      </c>
      <c r="L6">
        <f t="shared" si="5"/>
        <v>0</v>
      </c>
      <c r="M6">
        <f t="shared" si="6"/>
        <v>1.9627091678486889E-3</v>
      </c>
      <c r="N6">
        <f t="shared" si="7"/>
        <v>4.0100304362037827E-3</v>
      </c>
      <c r="AB6">
        <f t="shared" si="0"/>
        <v>0</v>
      </c>
      <c r="AC6">
        <f t="shared" si="1"/>
        <v>2.0866413286920711E-3</v>
      </c>
      <c r="AD6">
        <f t="shared" si="8"/>
        <v>-4.1922598206517859E-4</v>
      </c>
      <c r="AE6">
        <f t="shared" si="2"/>
        <v>1.0114663613641562E-3</v>
      </c>
      <c r="AF6">
        <f t="shared" si="3"/>
        <v>-1.93378175685822E-4</v>
      </c>
      <c r="AG6">
        <f t="shared" si="9"/>
        <v>2.2214602510188587E-3</v>
      </c>
    </row>
    <row r="7" spans="1:33" x14ac:dyDescent="0.3">
      <c r="A7" s="17">
        <v>45303</v>
      </c>
      <c r="B7">
        <v>99.35</v>
      </c>
      <c r="C7">
        <v>98.25</v>
      </c>
      <c r="D7">
        <v>113.2</v>
      </c>
      <c r="E7">
        <v>111.9</v>
      </c>
      <c r="F7">
        <v>103.25</v>
      </c>
      <c r="G7">
        <v>102.25</v>
      </c>
      <c r="H7">
        <v>99.9</v>
      </c>
      <c r="I7">
        <v>98.7</v>
      </c>
      <c r="K7">
        <f t="shared" si="4"/>
        <v>0</v>
      </c>
      <c r="L7">
        <f t="shared" si="5"/>
        <v>0</v>
      </c>
      <c r="M7">
        <f t="shared" si="6"/>
        <v>2.4479816386400372E-3</v>
      </c>
      <c r="N7">
        <f t="shared" si="7"/>
        <v>-5.003752919012001E-4</v>
      </c>
      <c r="AB7">
        <f t="shared" si="0"/>
        <v>2.6658471142324142E-3</v>
      </c>
      <c r="AC7">
        <f t="shared" si="1"/>
        <v>3.7511441509694056E-4</v>
      </c>
      <c r="AD7">
        <f t="shared" si="8"/>
        <v>4.1213971945192041E-4</v>
      </c>
      <c r="AE7">
        <f t="shared" si="2"/>
        <v>1.5711286432726751E-3</v>
      </c>
      <c r="AF7">
        <f t="shared" si="3"/>
        <v>1.6426615541028466E-3</v>
      </c>
      <c r="AG7">
        <f t="shared" si="9"/>
        <v>0</v>
      </c>
    </row>
    <row r="8" spans="1:33" x14ac:dyDescent="0.3">
      <c r="A8" s="17">
        <v>45306</v>
      </c>
      <c r="B8">
        <v>99.5</v>
      </c>
      <c r="C8">
        <v>98.5</v>
      </c>
      <c r="D8">
        <v>113.4</v>
      </c>
      <c r="E8">
        <v>112.2</v>
      </c>
      <c r="F8">
        <v>103.3</v>
      </c>
      <c r="G8">
        <v>102.25</v>
      </c>
      <c r="H8">
        <v>99.9</v>
      </c>
      <c r="I8">
        <v>98.95</v>
      </c>
      <c r="K8">
        <f t="shared" si="4"/>
        <v>2.5412974286725481E-3</v>
      </c>
      <c r="L8">
        <f t="shared" si="5"/>
        <v>2.6773777707163942E-3</v>
      </c>
      <c r="M8">
        <f t="shared" si="6"/>
        <v>0</v>
      </c>
      <c r="N8">
        <f t="shared" si="7"/>
        <v>0</v>
      </c>
      <c r="AB8">
        <f t="shared" si="0"/>
        <v>-9.0217692179785016E-4</v>
      </c>
      <c r="AC8">
        <f t="shared" si="1"/>
        <v>-2.2365727208625533E-3</v>
      </c>
      <c r="AD8">
        <f t="shared" si="8"/>
        <v>-1.8437350104652116E-3</v>
      </c>
      <c r="AE8">
        <f t="shared" si="2"/>
        <v>-1.5347086588229119E-3</v>
      </c>
      <c r="AF8">
        <f t="shared" si="3"/>
        <v>-1.3215471016501295E-3</v>
      </c>
      <c r="AG8">
        <f t="shared" si="9"/>
        <v>-2.4138713285569539E-3</v>
      </c>
    </row>
    <row r="9" spans="1:33" x14ac:dyDescent="0.3">
      <c r="A9" s="17">
        <v>45307</v>
      </c>
      <c r="B9">
        <v>99.5</v>
      </c>
      <c r="C9">
        <v>98.4</v>
      </c>
      <c r="D9">
        <v>113.3</v>
      </c>
      <c r="E9">
        <v>112.1</v>
      </c>
      <c r="F9">
        <v>103.2</v>
      </c>
      <c r="G9">
        <v>102</v>
      </c>
      <c r="H9">
        <v>99.7</v>
      </c>
      <c r="I9">
        <v>98.5</v>
      </c>
      <c r="K9">
        <f t="shared" si="4"/>
        <v>-1.0157441198354164E-3</v>
      </c>
      <c r="L9">
        <f t="shared" si="5"/>
        <v>-8.916630104817922E-4</v>
      </c>
      <c r="M9">
        <f t="shared" si="6"/>
        <v>-2.4479816386400017E-3</v>
      </c>
      <c r="N9">
        <f t="shared" si="7"/>
        <v>-2.0040086867152544E-3</v>
      </c>
      <c r="AB9">
        <f t="shared" si="0"/>
        <v>8.6068247224653242E-5</v>
      </c>
      <c r="AC9">
        <f t="shared" si="1"/>
        <v>9.8520099070717655E-4</v>
      </c>
      <c r="AD9">
        <f t="shared" si="8"/>
        <v>1.6473022475081952E-4</v>
      </c>
      <c r="AE9">
        <f t="shared" si="2"/>
        <v>4.0488371910065509E-4</v>
      </c>
      <c r="AF9">
        <f t="shared" si="3"/>
        <v>0</v>
      </c>
      <c r="AG9">
        <f t="shared" si="9"/>
        <v>9.0462554705150722E-4</v>
      </c>
    </row>
    <row r="10" spans="1:33" x14ac:dyDescent="0.3">
      <c r="A10" s="17">
        <v>45308</v>
      </c>
      <c r="B10">
        <v>99.6</v>
      </c>
      <c r="C10">
        <v>98.5</v>
      </c>
      <c r="D10">
        <v>113.3</v>
      </c>
      <c r="E10">
        <v>112.1</v>
      </c>
      <c r="F10">
        <v>103.3</v>
      </c>
      <c r="G10">
        <v>102.1</v>
      </c>
      <c r="H10">
        <v>99.7</v>
      </c>
      <c r="I10">
        <v>98.7</v>
      </c>
      <c r="K10">
        <f t="shared" si="4"/>
        <v>1.0157441198354218E-3</v>
      </c>
      <c r="L10">
        <f t="shared" si="5"/>
        <v>0</v>
      </c>
      <c r="M10">
        <f t="shared" si="6"/>
        <v>9.7991188634878709E-4</v>
      </c>
      <c r="N10">
        <f t="shared" si="7"/>
        <v>0</v>
      </c>
      <c r="AB10">
        <f t="shared" si="0"/>
        <v>-1.1184591390308999E-3</v>
      </c>
      <c r="AC10">
        <f t="shared" si="1"/>
        <v>-5.2542750639690767E-4</v>
      </c>
      <c r="AD10">
        <f t="shared" si="8"/>
        <v>1.1017154671400097E-3</v>
      </c>
      <c r="AE10">
        <f t="shared" si="2"/>
        <v>-5.2370926967366363E-4</v>
      </c>
      <c r="AF10">
        <f t="shared" si="3"/>
        <v>2.2692821369335592E-4</v>
      </c>
      <c r="AG10">
        <f t="shared" si="9"/>
        <v>1.5396739242026046E-4</v>
      </c>
    </row>
    <row r="11" spans="1:33" x14ac:dyDescent="0.3">
      <c r="A11" s="17">
        <v>45309</v>
      </c>
      <c r="B11">
        <v>99.35</v>
      </c>
      <c r="C11">
        <v>98.15</v>
      </c>
      <c r="D11">
        <v>113.3</v>
      </c>
      <c r="E11">
        <v>112</v>
      </c>
      <c r="F11">
        <v>103.15</v>
      </c>
      <c r="G11">
        <v>102.1</v>
      </c>
      <c r="H11">
        <v>99.9</v>
      </c>
      <c r="I11">
        <v>98.7</v>
      </c>
      <c r="K11">
        <f t="shared" si="4"/>
        <v>-3.5596274555730364E-3</v>
      </c>
      <c r="L11">
        <f t="shared" si="5"/>
        <v>-8.9245878301961123E-4</v>
      </c>
      <c r="M11">
        <f t="shared" si="6"/>
        <v>0</v>
      </c>
      <c r="N11">
        <f t="shared" si="7"/>
        <v>2.0040086867152622E-3</v>
      </c>
      <c r="AB11">
        <f t="shared" si="0"/>
        <v>-1.2971564340440731E-4</v>
      </c>
      <c r="AC11">
        <f t="shared" si="1"/>
        <v>3.699149567386816E-3</v>
      </c>
      <c r="AD11">
        <f t="shared" si="8"/>
        <v>4.7742988231729564E-4</v>
      </c>
      <c r="AE11">
        <f t="shared" si="2"/>
        <v>6.8809900800612068E-4</v>
      </c>
      <c r="AF11">
        <f t="shared" si="3"/>
        <v>-9.3508954481113507E-4</v>
      </c>
      <c r="AG11">
        <f t="shared" si="9"/>
        <v>2.6316249240413122E-3</v>
      </c>
    </row>
    <row r="12" spans="1:33" x14ac:dyDescent="0.3">
      <c r="A12" s="17">
        <v>45310</v>
      </c>
      <c r="B12">
        <v>99.8</v>
      </c>
      <c r="C12">
        <v>98.95</v>
      </c>
      <c r="D12">
        <v>113.2</v>
      </c>
      <c r="E12">
        <v>111.9</v>
      </c>
      <c r="F12">
        <v>103.4</v>
      </c>
      <c r="G12">
        <v>102.4</v>
      </c>
      <c r="H12">
        <v>99.8</v>
      </c>
      <c r="I12">
        <v>99.15</v>
      </c>
      <c r="K12">
        <f t="shared" si="4"/>
        <v>8.1177513261047034E-3</v>
      </c>
      <c r="L12">
        <f t="shared" si="5"/>
        <v>-8.9325597721499092E-4</v>
      </c>
      <c r="M12">
        <f t="shared" si="6"/>
        <v>2.9339874347875704E-3</v>
      </c>
      <c r="N12">
        <f t="shared" si="7"/>
        <v>-1.0015023370896325E-3</v>
      </c>
      <c r="AB12">
        <f t="shared" si="0"/>
        <v>2.1502643696192608E-3</v>
      </c>
      <c r="AC12">
        <f t="shared" si="1"/>
        <v>1.5554665614740952E-3</v>
      </c>
      <c r="AD12">
        <f t="shared" si="8"/>
        <v>1.1026648057364077E-3</v>
      </c>
      <c r="AE12">
        <f t="shared" si="2"/>
        <v>2.5786487774115477E-3</v>
      </c>
      <c r="AF12">
        <f t="shared" si="3"/>
        <v>2.4163680708694001E-3</v>
      </c>
      <c r="AG12">
        <f t="shared" si="9"/>
        <v>2.4049002113582301E-3</v>
      </c>
    </row>
    <row r="13" spans="1:33" x14ac:dyDescent="0.3">
      <c r="A13" s="17">
        <v>45313</v>
      </c>
      <c r="B13">
        <v>99.8</v>
      </c>
      <c r="C13">
        <v>98.6</v>
      </c>
      <c r="D13">
        <v>113.4</v>
      </c>
      <c r="E13">
        <v>112.2</v>
      </c>
      <c r="F13">
        <v>103.6</v>
      </c>
      <c r="G13">
        <v>102.65</v>
      </c>
      <c r="H13">
        <v>100</v>
      </c>
      <c r="I13">
        <v>98.8</v>
      </c>
      <c r="K13">
        <f t="shared" si="4"/>
        <v>-3.5434104399850899E-3</v>
      </c>
      <c r="L13">
        <f t="shared" si="5"/>
        <v>2.6773777707163942E-3</v>
      </c>
      <c r="M13">
        <f t="shared" si="6"/>
        <v>2.4384308595351675E-3</v>
      </c>
      <c r="N13">
        <f t="shared" si="7"/>
        <v>2.0020026706731903E-3</v>
      </c>
      <c r="AB13">
        <f t="shared" si="0"/>
        <v>9.8708215796716693E-4</v>
      </c>
      <c r="AC13">
        <f t="shared" si="1"/>
        <v>-9.4738856703980158E-4</v>
      </c>
      <c r="AD13">
        <f t="shared" si="8"/>
        <v>-5.0961626463928516E-4</v>
      </c>
      <c r="AE13">
        <f t="shared" si="2"/>
        <v>-8.1441063174377535E-5</v>
      </c>
      <c r="AF13">
        <f t="shared" si="3"/>
        <v>1.5991832584748148E-4</v>
      </c>
      <c r="AG13">
        <f t="shared" si="9"/>
        <v>-1.4268615066000462E-3</v>
      </c>
    </row>
    <row r="14" spans="1:33" x14ac:dyDescent="0.3">
      <c r="A14" s="17">
        <v>45314</v>
      </c>
      <c r="B14">
        <v>99.9</v>
      </c>
      <c r="C14">
        <v>98.8</v>
      </c>
      <c r="D14">
        <v>113.3</v>
      </c>
      <c r="E14">
        <v>112.3</v>
      </c>
      <c r="F14">
        <v>103.55</v>
      </c>
      <c r="G14">
        <v>102.5</v>
      </c>
      <c r="H14">
        <v>99.9</v>
      </c>
      <c r="I14">
        <v>99.2</v>
      </c>
      <c r="K14">
        <f t="shared" si="4"/>
        <v>2.0263431452324674E-3</v>
      </c>
      <c r="L14">
        <f t="shared" si="5"/>
        <v>8.9086865580141107E-4</v>
      </c>
      <c r="M14">
        <f t="shared" si="6"/>
        <v>-1.4623448864797524E-3</v>
      </c>
      <c r="N14">
        <f t="shared" si="7"/>
        <v>-1.0005003335834233E-3</v>
      </c>
      <c r="AB14">
        <f t="shared" si="0"/>
        <v>-1.3091517784607021E-3</v>
      </c>
      <c r="AC14">
        <f t="shared" si="1"/>
        <v>-5.5721040491189065E-3</v>
      </c>
      <c r="AD14">
        <f t="shared" si="8"/>
        <v>6.7401252030143506E-4</v>
      </c>
      <c r="AE14">
        <f t="shared" si="2"/>
        <v>-3.4128721624123825E-3</v>
      </c>
      <c r="AF14">
        <f t="shared" si="3"/>
        <v>-4.3339001477702479E-4</v>
      </c>
      <c r="AG14">
        <f t="shared" si="9"/>
        <v>-5.7960236275749581E-3</v>
      </c>
    </row>
    <row r="15" spans="1:33" x14ac:dyDescent="0.3">
      <c r="A15" s="17">
        <v>45315</v>
      </c>
      <c r="B15">
        <v>99.8</v>
      </c>
      <c r="C15">
        <v>98.7</v>
      </c>
      <c r="D15">
        <v>113.35</v>
      </c>
      <c r="E15">
        <v>112.15</v>
      </c>
      <c r="F15">
        <v>102.95</v>
      </c>
      <c r="G15">
        <v>101.85</v>
      </c>
      <c r="H15">
        <v>100</v>
      </c>
      <c r="I15">
        <v>98.9</v>
      </c>
      <c r="K15">
        <f t="shared" si="4"/>
        <v>-1.0126583143861578E-3</v>
      </c>
      <c r="L15">
        <f t="shared" si="5"/>
        <v>-1.3366007781801406E-3</v>
      </c>
      <c r="M15">
        <f t="shared" si="6"/>
        <v>-6.3616559056480495E-3</v>
      </c>
      <c r="N15">
        <f t="shared" si="7"/>
        <v>1.0005003335834001E-3</v>
      </c>
      <c r="AB15">
        <f t="shared" si="0"/>
        <v>-1.676610355129381E-3</v>
      </c>
      <c r="AC15">
        <f t="shared" si="1"/>
        <v>-2.1696411190209445E-3</v>
      </c>
      <c r="AD15">
        <f t="shared" si="8"/>
        <v>-9.2041959579733184E-4</v>
      </c>
      <c r="AE15">
        <f t="shared" si="2"/>
        <v>-2.0628623710194265E-3</v>
      </c>
      <c r="AF15">
        <f t="shared" si="3"/>
        <v>-1.4817669774053906E-3</v>
      </c>
      <c r="AG15">
        <f t="shared" si="9"/>
        <v>-2.3456584152607611E-3</v>
      </c>
    </row>
    <row r="16" spans="1:33" x14ac:dyDescent="0.3">
      <c r="A16" s="17">
        <v>45316</v>
      </c>
      <c r="B16">
        <v>99.75</v>
      </c>
      <c r="C16">
        <v>98.65</v>
      </c>
      <c r="D16">
        <v>113.15</v>
      </c>
      <c r="E16">
        <v>111.95</v>
      </c>
      <c r="F16">
        <v>102.8</v>
      </c>
      <c r="G16">
        <v>101.6</v>
      </c>
      <c r="H16">
        <v>99.9</v>
      </c>
      <c r="I16">
        <v>98.8</v>
      </c>
      <c r="K16">
        <f t="shared" si="4"/>
        <v>-5.0671397081152351E-4</v>
      </c>
      <c r="L16">
        <f t="shared" si="5"/>
        <v>-1.7849179214534713E-3</v>
      </c>
      <c r="M16">
        <f t="shared" si="6"/>
        <v>-2.457607528433299E-3</v>
      </c>
      <c r="N16">
        <f t="shared" si="7"/>
        <v>-1.0005003335834233E-3</v>
      </c>
      <c r="AB16">
        <f t="shared" si="0"/>
        <v>-5.378132921100544E-4</v>
      </c>
      <c r="AC16">
        <f t="shared" si="1"/>
        <v>1.451676827754544E-3</v>
      </c>
      <c r="AD16">
        <f t="shared" si="8"/>
        <v>-1.0858638297496896E-3</v>
      </c>
      <c r="AE16">
        <f t="shared" si="2"/>
        <v>5.5040737920667012E-4</v>
      </c>
      <c r="AF16">
        <f t="shared" si="3"/>
        <v>-6.6112940453443231E-4</v>
      </c>
      <c r="AG16">
        <f t="shared" si="9"/>
        <v>1.7385329345657565E-3</v>
      </c>
    </row>
    <row r="17" spans="1:33" x14ac:dyDescent="0.3">
      <c r="A17" s="17">
        <v>45317</v>
      </c>
      <c r="B17">
        <v>99.6</v>
      </c>
      <c r="C17">
        <v>98.5</v>
      </c>
      <c r="D17">
        <v>113.15</v>
      </c>
      <c r="E17">
        <v>111.9</v>
      </c>
      <c r="F17">
        <v>103</v>
      </c>
      <c r="G17">
        <v>101.8</v>
      </c>
      <c r="H17">
        <v>99.8</v>
      </c>
      <c r="I17">
        <v>98.8</v>
      </c>
      <c r="K17">
        <f t="shared" si="4"/>
        <v>-1.5216842905812354E-3</v>
      </c>
      <c r="L17">
        <f t="shared" si="5"/>
        <v>-4.4672772688420783E-4</v>
      </c>
      <c r="M17">
        <f t="shared" si="6"/>
        <v>1.9665689720408473E-3</v>
      </c>
      <c r="N17">
        <f t="shared" si="7"/>
        <v>-1.0015023370896325E-3</v>
      </c>
      <c r="AB17">
        <f t="shared" si="0"/>
        <v>-2.3281522458835392E-3</v>
      </c>
      <c r="AC17">
        <f t="shared" si="1"/>
        <v>-6.1312038324443921E-4</v>
      </c>
      <c r="AD17">
        <f t="shared" si="8"/>
        <v>1.0858638297496486E-3</v>
      </c>
      <c r="AE17">
        <f t="shared" si="2"/>
        <v>-1.9814239229913565E-3</v>
      </c>
      <c r="AF17">
        <f t="shared" si="3"/>
        <v>-1.2600245104030777E-3</v>
      </c>
      <c r="AG17">
        <f t="shared" si="9"/>
        <v>-8.30347620892769E-4</v>
      </c>
    </row>
    <row r="18" spans="1:33" x14ac:dyDescent="0.3">
      <c r="A18" s="17">
        <v>45320</v>
      </c>
      <c r="B18">
        <v>99.75</v>
      </c>
      <c r="C18">
        <v>98.65</v>
      </c>
      <c r="D18">
        <v>112.8</v>
      </c>
      <c r="E18">
        <v>111.6</v>
      </c>
      <c r="F18">
        <v>102.85</v>
      </c>
      <c r="G18">
        <v>101.7</v>
      </c>
      <c r="H18">
        <v>99.9</v>
      </c>
      <c r="I18">
        <v>98.7</v>
      </c>
      <c r="K18">
        <f t="shared" si="4"/>
        <v>1.5216842905811487E-3</v>
      </c>
      <c r="L18">
        <f t="shared" si="5"/>
        <v>-2.6845653706690981E-3</v>
      </c>
      <c r="M18">
        <f t="shared" si="6"/>
        <v>-9.8280106190808884E-4</v>
      </c>
      <c r="N18">
        <f t="shared" si="7"/>
        <v>1.0015023370896004E-3</v>
      </c>
      <c r="AB18">
        <f t="shared" si="0"/>
        <v>2.0909695579629261E-3</v>
      </c>
      <c r="AC18">
        <f t="shared" si="1"/>
        <v>3.0032628608078192E-3</v>
      </c>
      <c r="AD18">
        <f t="shared" si="8"/>
        <v>5.0140327914837595E-4</v>
      </c>
      <c r="AE18">
        <f t="shared" si="2"/>
        <v>2.7326107862663714E-3</v>
      </c>
      <c r="AF18">
        <f t="shared" si="3"/>
        <v>1.5662445438968148E-3</v>
      </c>
      <c r="AG18">
        <f t="shared" si="9"/>
        <v>3.2100748186166344E-3</v>
      </c>
    </row>
    <row r="19" spans="1:33" x14ac:dyDescent="0.3">
      <c r="A19" s="17">
        <v>45321</v>
      </c>
      <c r="B19">
        <v>99.8</v>
      </c>
      <c r="C19">
        <v>98.7</v>
      </c>
      <c r="D19">
        <v>113.05</v>
      </c>
      <c r="E19">
        <v>111.85</v>
      </c>
      <c r="F19">
        <v>103.2</v>
      </c>
      <c r="G19">
        <v>102.05</v>
      </c>
      <c r="H19">
        <v>99.95</v>
      </c>
      <c r="I19">
        <v>98.8</v>
      </c>
      <c r="K19">
        <f t="shared" si="4"/>
        <v>5.0671397081149922E-4</v>
      </c>
      <c r="L19">
        <f t="shared" si="5"/>
        <v>2.2376379889280859E-3</v>
      </c>
      <c r="M19">
        <f t="shared" si="6"/>
        <v>3.4355862013394521E-3</v>
      </c>
      <c r="N19">
        <f t="shared" si="7"/>
        <v>5.0037529190127979E-4</v>
      </c>
      <c r="AB19">
        <f t="shared" si="0"/>
        <v>1.6780478999465719E-3</v>
      </c>
      <c r="AC19">
        <f t="shared" si="1"/>
        <v>3.4093041363673754E-3</v>
      </c>
      <c r="AD19">
        <f t="shared" si="8"/>
        <v>1.3385564696235762E-3</v>
      </c>
      <c r="AE19">
        <f t="shared" si="2"/>
        <v>2.6647233754423594E-3</v>
      </c>
      <c r="AF19">
        <f t="shared" si="3"/>
        <v>1.675640184983471E-3</v>
      </c>
      <c r="AG19">
        <f t="shared" si="9"/>
        <v>3.7266445223014147E-3</v>
      </c>
    </row>
    <row r="20" spans="1:33" x14ac:dyDescent="0.3">
      <c r="A20" s="17">
        <v>45322</v>
      </c>
      <c r="B20">
        <v>99.85</v>
      </c>
      <c r="C20">
        <v>98.75</v>
      </c>
      <c r="D20">
        <v>113.3</v>
      </c>
      <c r="E20">
        <v>112.05</v>
      </c>
      <c r="F20">
        <v>103.65</v>
      </c>
      <c r="G20">
        <v>102.45</v>
      </c>
      <c r="H20">
        <v>100.1</v>
      </c>
      <c r="I20">
        <v>98.9</v>
      </c>
      <c r="K20">
        <f t="shared" si="4"/>
        <v>5.0645734179521667E-4</v>
      </c>
      <c r="L20">
        <f t="shared" si="5"/>
        <v>1.78651231079749E-3</v>
      </c>
      <c r="M20">
        <f t="shared" si="6"/>
        <v>3.9119854290549094E-3</v>
      </c>
      <c r="N20">
        <f t="shared" si="7"/>
        <v>1.4996253747658356E-3</v>
      </c>
      <c r="AB20">
        <f t="shared" si="0"/>
        <v>0</v>
      </c>
      <c r="AC20">
        <f t="shared" si="1"/>
        <v>4.1499232754490254E-3</v>
      </c>
      <c r="AD20">
        <f t="shared" si="8"/>
        <v>1.672302167339742E-3</v>
      </c>
      <c r="AE20">
        <f t="shared" si="2"/>
        <v>2.0116096320156223E-3</v>
      </c>
      <c r="AF20">
        <f t="shared" si="3"/>
        <v>7.713900286488622E-4</v>
      </c>
      <c r="AG20">
        <f t="shared" si="9"/>
        <v>4.6478616143120028E-3</v>
      </c>
    </row>
    <row r="21" spans="1:33" x14ac:dyDescent="0.3">
      <c r="A21" s="17">
        <v>45323</v>
      </c>
      <c r="B21">
        <v>99.85</v>
      </c>
      <c r="C21">
        <v>98.75</v>
      </c>
      <c r="D21">
        <v>113.3</v>
      </c>
      <c r="E21">
        <v>112.05</v>
      </c>
      <c r="F21">
        <v>103.95</v>
      </c>
      <c r="G21">
        <v>102.95</v>
      </c>
      <c r="H21">
        <v>100.3</v>
      </c>
      <c r="I21">
        <v>99.4</v>
      </c>
      <c r="K21">
        <f t="shared" si="4"/>
        <v>0</v>
      </c>
      <c r="L21">
        <f t="shared" si="5"/>
        <v>0</v>
      </c>
      <c r="M21">
        <f t="shared" si="6"/>
        <v>4.8685587888896388E-3</v>
      </c>
      <c r="N21">
        <f t="shared" si="7"/>
        <v>1.9960086467148783E-3</v>
      </c>
      <c r="AB21">
        <f t="shared" si="0"/>
        <v>2.0398176882798018E-3</v>
      </c>
      <c r="AC21">
        <f t="shared" si="1"/>
        <v>2.0674095924336782E-3</v>
      </c>
      <c r="AD21">
        <f t="shared" si="8"/>
        <v>2.5022112406985269E-3</v>
      </c>
      <c r="AE21">
        <f t="shared" si="2"/>
        <v>2.3099587475160386E-3</v>
      </c>
      <c r="AF21">
        <f t="shared" si="3"/>
        <v>2.5215647519463043E-3</v>
      </c>
      <c r="AG21">
        <f t="shared" si="9"/>
        <v>2.4685320332868401E-3</v>
      </c>
    </row>
    <row r="22" spans="1:33" x14ac:dyDescent="0.3">
      <c r="A22" s="17">
        <v>45324</v>
      </c>
      <c r="B22">
        <v>99.85</v>
      </c>
      <c r="C22">
        <v>98.75</v>
      </c>
      <c r="D22">
        <v>113.5</v>
      </c>
      <c r="E22">
        <v>112.3</v>
      </c>
      <c r="F22">
        <v>104.75</v>
      </c>
      <c r="G22">
        <v>103.2</v>
      </c>
      <c r="H22">
        <v>100.6</v>
      </c>
      <c r="I22">
        <v>99.7</v>
      </c>
      <c r="K22">
        <f t="shared" si="4"/>
        <v>0</v>
      </c>
      <c r="L22">
        <f t="shared" si="5"/>
        <v>2.228661497461446E-3</v>
      </c>
      <c r="M22">
        <f t="shared" si="6"/>
        <v>2.4254195736639621E-3</v>
      </c>
      <c r="N22">
        <f t="shared" si="7"/>
        <v>2.9865626977488469E-3</v>
      </c>
      <c r="AB22">
        <f t="shared" si="0"/>
        <v>-5.7229849036808094E-3</v>
      </c>
      <c r="AC22">
        <f t="shared" si="1"/>
        <v>-3.7249551941869012E-3</v>
      </c>
      <c r="AD22">
        <f t="shared" si="8"/>
        <v>-2.502211240698628E-3</v>
      </c>
      <c r="AE22">
        <f t="shared" si="2"/>
        <v>-5.4748643239596216E-3</v>
      </c>
      <c r="AF22">
        <f t="shared" si="3"/>
        <v>-4.990516671092883E-3</v>
      </c>
      <c r="AG22">
        <f t="shared" si="9"/>
        <v>-4.2637106191898682E-3</v>
      </c>
    </row>
    <row r="23" spans="1:33" x14ac:dyDescent="0.3">
      <c r="A23" s="17">
        <v>45327</v>
      </c>
      <c r="B23">
        <v>99.7</v>
      </c>
      <c r="C23">
        <v>98.75</v>
      </c>
      <c r="D23">
        <v>112.65</v>
      </c>
      <c r="E23">
        <v>111.6</v>
      </c>
      <c r="F23">
        <v>103.55</v>
      </c>
      <c r="G23">
        <v>102.75</v>
      </c>
      <c r="H23">
        <v>100.3</v>
      </c>
      <c r="I23">
        <v>99.2</v>
      </c>
      <c r="K23">
        <f t="shared" si="4"/>
        <v>0</v>
      </c>
      <c r="L23">
        <f t="shared" si="5"/>
        <v>-6.2528117971869333E-3</v>
      </c>
      <c r="M23">
        <f t="shared" si="6"/>
        <v>-4.369999671118379E-3</v>
      </c>
      <c r="N23">
        <f t="shared" si="7"/>
        <v>-2.9865626977489674E-3</v>
      </c>
      <c r="AB23">
        <f t="shared" si="0"/>
        <v>2.4141766710421906E-3</v>
      </c>
      <c r="AC23">
        <f t="shared" si="1"/>
        <v>-1.3200347529321262E-3</v>
      </c>
      <c r="AD23">
        <f t="shared" si="8"/>
        <v>-3.8495204764377802E-3</v>
      </c>
      <c r="AE23">
        <f t="shared" si="2"/>
        <v>9.7171769861784812E-4</v>
      </c>
      <c r="AF23">
        <f t="shared" si="3"/>
        <v>-9.072643510486182E-5</v>
      </c>
      <c r="AG23">
        <f t="shared" si="9"/>
        <v>-1.6941536808393572E-3</v>
      </c>
    </row>
    <row r="24" spans="1:33" x14ac:dyDescent="0.3">
      <c r="A24" s="17">
        <v>45328</v>
      </c>
      <c r="B24">
        <v>99.4</v>
      </c>
      <c r="C24">
        <v>98.7</v>
      </c>
      <c r="D24">
        <v>112.8</v>
      </c>
      <c r="E24">
        <v>111.9</v>
      </c>
      <c r="F24">
        <v>103.25</v>
      </c>
      <c r="G24">
        <v>102.6</v>
      </c>
      <c r="H24">
        <v>99.85</v>
      </c>
      <c r="I24">
        <v>99.1</v>
      </c>
      <c r="K24">
        <f t="shared" si="4"/>
        <v>-5.0645734179530894E-4</v>
      </c>
      <c r="L24">
        <f t="shared" si="5"/>
        <v>2.6845653706689828E-3</v>
      </c>
      <c r="M24">
        <f t="shared" si="6"/>
        <v>-1.4609206396748709E-3</v>
      </c>
      <c r="N24">
        <f t="shared" si="7"/>
        <v>-4.4966351060656386E-3</v>
      </c>
      <c r="AB24">
        <f t="shared" si="0"/>
        <v>8.1756666257306991E-4</v>
      </c>
      <c r="AC24">
        <f t="shared" si="1"/>
        <v>8.3038735948530126E-4</v>
      </c>
      <c r="AD24">
        <f t="shared" si="8"/>
        <v>-8.3950218213941835E-4</v>
      </c>
      <c r="AE24">
        <f t="shared" si="2"/>
        <v>9.2669420712593125E-4</v>
      </c>
      <c r="AF24">
        <f t="shared" si="3"/>
        <v>1.6080187618671668E-4</v>
      </c>
      <c r="AG24">
        <f t="shared" si="9"/>
        <v>8.2235423826650372E-4</v>
      </c>
    </row>
    <row r="25" spans="1:33" x14ac:dyDescent="0.3">
      <c r="A25" s="17">
        <v>45329</v>
      </c>
      <c r="B25">
        <v>99.5</v>
      </c>
      <c r="C25">
        <v>98.7</v>
      </c>
      <c r="D25">
        <v>113</v>
      </c>
      <c r="E25">
        <v>112</v>
      </c>
      <c r="F25">
        <v>103.45</v>
      </c>
      <c r="G25">
        <v>102.7</v>
      </c>
      <c r="H25">
        <v>99.75</v>
      </c>
      <c r="I25">
        <v>98.85</v>
      </c>
      <c r="K25">
        <f t="shared" si="4"/>
        <v>0</v>
      </c>
      <c r="L25">
        <f t="shared" si="5"/>
        <v>8.9325597721492066E-4</v>
      </c>
      <c r="M25">
        <f t="shared" si="6"/>
        <v>9.7418419784341429E-4</v>
      </c>
      <c r="N25">
        <f t="shared" si="7"/>
        <v>-1.0020040918513411E-3</v>
      </c>
      <c r="AB25">
        <f t="shared" si="0"/>
        <v>0</v>
      </c>
      <c r="AC25">
        <f t="shared" si="1"/>
        <v>0</v>
      </c>
      <c r="AD25">
        <f t="shared" si="8"/>
        <v>0</v>
      </c>
      <c r="AE25">
        <f t="shared" si="2"/>
        <v>0</v>
      </c>
      <c r="AF25">
        <f t="shared" si="3"/>
        <v>0</v>
      </c>
      <c r="AG25">
        <f t="shared" si="9"/>
        <v>0</v>
      </c>
    </row>
    <row r="26" spans="1:33" x14ac:dyDescent="0.3">
      <c r="A26" s="17">
        <v>45330</v>
      </c>
      <c r="B26">
        <v>99.5</v>
      </c>
      <c r="C26">
        <v>98.7</v>
      </c>
      <c r="D26">
        <v>113</v>
      </c>
      <c r="E26">
        <v>112</v>
      </c>
      <c r="F26">
        <v>103.45</v>
      </c>
      <c r="G26">
        <v>102.7</v>
      </c>
      <c r="H26">
        <v>99.75</v>
      </c>
      <c r="I26">
        <v>98.85</v>
      </c>
      <c r="K26">
        <f t="shared" si="4"/>
        <v>0</v>
      </c>
      <c r="L26">
        <f t="shared" si="5"/>
        <v>0</v>
      </c>
      <c r="M26">
        <f t="shared" si="6"/>
        <v>0</v>
      </c>
      <c r="N26">
        <f t="shared" si="7"/>
        <v>0</v>
      </c>
      <c r="AB26">
        <f t="shared" si="0"/>
        <v>0</v>
      </c>
      <c r="AC26">
        <f t="shared" si="1"/>
        <v>0</v>
      </c>
      <c r="AD26">
        <f t="shared" si="8"/>
        <v>0</v>
      </c>
      <c r="AE26">
        <f t="shared" si="2"/>
        <v>0</v>
      </c>
      <c r="AF26">
        <f t="shared" si="3"/>
        <v>0</v>
      </c>
      <c r="AG26">
        <f t="shared" si="9"/>
        <v>0</v>
      </c>
    </row>
    <row r="27" spans="1:33" x14ac:dyDescent="0.3">
      <c r="A27" s="17">
        <v>45331</v>
      </c>
      <c r="B27">
        <v>99.5</v>
      </c>
      <c r="C27">
        <v>98.7</v>
      </c>
      <c r="D27">
        <v>113</v>
      </c>
      <c r="E27">
        <v>112</v>
      </c>
      <c r="F27">
        <v>103.45</v>
      </c>
      <c r="G27">
        <v>102.7</v>
      </c>
      <c r="H27">
        <v>99.75</v>
      </c>
      <c r="I27">
        <v>98.85</v>
      </c>
      <c r="K27">
        <f t="shared" si="4"/>
        <v>0</v>
      </c>
      <c r="L27">
        <f t="shared" si="5"/>
        <v>0</v>
      </c>
      <c r="M27">
        <f t="shared" si="6"/>
        <v>0</v>
      </c>
      <c r="N27">
        <f t="shared" si="7"/>
        <v>0</v>
      </c>
      <c r="AB27">
        <f t="shared" si="0"/>
        <v>-1.2266240181608989E-3</v>
      </c>
      <c r="AC27">
        <f t="shared" si="1"/>
        <v>-1.6615844581134135E-3</v>
      </c>
      <c r="AD27">
        <f t="shared" si="8"/>
        <v>-1.6815321403236107E-3</v>
      </c>
      <c r="AE27">
        <f t="shared" si="2"/>
        <v>-1.5918680731567712E-3</v>
      </c>
      <c r="AF27">
        <f t="shared" si="3"/>
        <v>-1.5978952650731815E-3</v>
      </c>
      <c r="AG27">
        <f t="shared" si="9"/>
        <v>-1.9537519603294116E-3</v>
      </c>
    </row>
    <row r="28" spans="1:33" x14ac:dyDescent="0.3">
      <c r="A28" s="17">
        <v>45334</v>
      </c>
      <c r="B28">
        <v>99.5</v>
      </c>
      <c r="C28">
        <v>98.7</v>
      </c>
      <c r="D28">
        <v>112.8</v>
      </c>
      <c r="E28">
        <v>111.85</v>
      </c>
      <c r="F28">
        <v>103.3</v>
      </c>
      <c r="G28">
        <v>102.5</v>
      </c>
      <c r="H28">
        <v>99.55</v>
      </c>
      <c r="I28">
        <v>98.65</v>
      </c>
      <c r="K28">
        <f t="shared" si="4"/>
        <v>0</v>
      </c>
      <c r="L28">
        <f t="shared" si="5"/>
        <v>-1.3401833589559791E-3</v>
      </c>
      <c r="M28">
        <f t="shared" si="6"/>
        <v>-1.9493183560496533E-3</v>
      </c>
      <c r="N28">
        <f t="shared" si="7"/>
        <v>-2.0070252597675625E-3</v>
      </c>
      <c r="AB28">
        <f t="shared" si="0"/>
        <v>0</v>
      </c>
      <c r="AC28">
        <f t="shared" si="1"/>
        <v>0</v>
      </c>
      <c r="AD28">
        <f t="shared" si="8"/>
        <v>4.2069953566681973E-4</v>
      </c>
      <c r="AE28">
        <f t="shared" si="2"/>
        <v>0</v>
      </c>
      <c r="AF28">
        <f t="shared" si="3"/>
        <v>1.9405788810692936E-4</v>
      </c>
      <c r="AG28">
        <f t="shared" si="9"/>
        <v>3.8578812312005355E-5</v>
      </c>
    </row>
    <row r="29" spans="1:33" x14ac:dyDescent="0.3">
      <c r="A29" s="17">
        <v>45335</v>
      </c>
      <c r="B29">
        <v>99.5</v>
      </c>
      <c r="C29">
        <v>98.7</v>
      </c>
      <c r="D29">
        <v>112.8</v>
      </c>
      <c r="E29">
        <v>111.85</v>
      </c>
      <c r="F29">
        <v>103.5</v>
      </c>
      <c r="G29">
        <v>102.5</v>
      </c>
      <c r="H29">
        <v>99.6</v>
      </c>
      <c r="I29">
        <v>98.75</v>
      </c>
      <c r="K29">
        <f t="shared" si="4"/>
        <v>0</v>
      </c>
      <c r="L29">
        <f t="shared" si="5"/>
        <v>0</v>
      </c>
      <c r="M29">
        <f t="shared" si="6"/>
        <v>0</v>
      </c>
      <c r="N29">
        <f t="shared" si="7"/>
        <v>5.0213408034728124E-4</v>
      </c>
      <c r="AB29">
        <f t="shared" si="0"/>
        <v>0</v>
      </c>
      <c r="AC29">
        <f t="shared" si="1"/>
        <v>0</v>
      </c>
      <c r="AD29">
        <f t="shared" si="8"/>
        <v>0</v>
      </c>
      <c r="AE29">
        <f t="shared" si="2"/>
        <v>0</v>
      </c>
      <c r="AF29">
        <f t="shared" si="3"/>
        <v>0</v>
      </c>
      <c r="AG29">
        <f t="shared" si="9"/>
        <v>0</v>
      </c>
    </row>
    <row r="30" spans="1:33" x14ac:dyDescent="0.3">
      <c r="A30" s="17">
        <v>45336</v>
      </c>
      <c r="B30">
        <v>99.5</v>
      </c>
      <c r="C30">
        <v>98.7</v>
      </c>
      <c r="D30">
        <v>112.8</v>
      </c>
      <c r="E30">
        <v>111.85</v>
      </c>
      <c r="F30">
        <v>103.5</v>
      </c>
      <c r="G30">
        <v>102.5</v>
      </c>
      <c r="H30">
        <v>99.6</v>
      </c>
      <c r="I30">
        <v>98.75</v>
      </c>
      <c r="K30">
        <f t="shared" si="4"/>
        <v>0</v>
      </c>
      <c r="L30">
        <f t="shared" si="5"/>
        <v>0</v>
      </c>
      <c r="M30">
        <f t="shared" si="6"/>
        <v>0</v>
      </c>
      <c r="N30">
        <f t="shared" si="7"/>
        <v>0</v>
      </c>
      <c r="AB30">
        <f t="shared" si="0"/>
        <v>-4.0924025626702052E-4</v>
      </c>
      <c r="AC30">
        <f t="shared" si="1"/>
        <v>-4.1681870690932262E-3</v>
      </c>
      <c r="AD30">
        <f t="shared" si="8"/>
        <v>0</v>
      </c>
      <c r="AE30">
        <f t="shared" si="2"/>
        <v>-2.2828442092315726E-3</v>
      </c>
      <c r="AF30">
        <f t="shared" si="3"/>
        <v>-2.7432762538653064E-4</v>
      </c>
      <c r="AG30">
        <f t="shared" si="9"/>
        <v>-4.5142891758510112E-3</v>
      </c>
    </row>
    <row r="31" spans="1:33" x14ac:dyDescent="0.3">
      <c r="A31" s="17">
        <v>45337</v>
      </c>
      <c r="B31">
        <v>99.5</v>
      </c>
      <c r="C31">
        <v>98.7</v>
      </c>
      <c r="D31">
        <v>112.65</v>
      </c>
      <c r="E31">
        <v>111.8</v>
      </c>
      <c r="F31">
        <v>103.1</v>
      </c>
      <c r="G31">
        <v>102</v>
      </c>
      <c r="H31">
        <v>99.6</v>
      </c>
      <c r="I31">
        <v>98.8</v>
      </c>
      <c r="K31">
        <f t="shared" si="4"/>
        <v>0</v>
      </c>
      <c r="L31">
        <f t="shared" si="5"/>
        <v>-4.4712721513985468E-4</v>
      </c>
      <c r="M31">
        <f t="shared" si="6"/>
        <v>-4.8899852941917919E-3</v>
      </c>
      <c r="N31">
        <f t="shared" si="7"/>
        <v>0</v>
      </c>
      <c r="AB31">
        <f t="shared" si="0"/>
        <v>-1.4006944779717736E-3</v>
      </c>
      <c r="AC31">
        <f t="shared" si="1"/>
        <v>3.8687803885444332E-3</v>
      </c>
      <c r="AD31">
        <f t="shared" si="8"/>
        <v>5.1180653206395297E-4</v>
      </c>
      <c r="AE31">
        <f t="shared" si="2"/>
        <v>1.2326135974118338E-3</v>
      </c>
      <c r="AF31">
        <f t="shared" si="3"/>
        <v>-4.3589590956266412E-4</v>
      </c>
      <c r="AG31">
        <f t="shared" si="9"/>
        <v>4.5913887338565841E-3</v>
      </c>
    </row>
    <row r="32" spans="1:33" x14ac:dyDescent="0.3">
      <c r="A32" s="17">
        <v>45338</v>
      </c>
      <c r="B32">
        <v>99.3</v>
      </c>
      <c r="C32">
        <v>98.5</v>
      </c>
      <c r="D32">
        <v>112.65</v>
      </c>
      <c r="E32">
        <v>111.65</v>
      </c>
      <c r="F32">
        <v>103.3</v>
      </c>
      <c r="G32">
        <v>102.5</v>
      </c>
      <c r="H32">
        <v>99.7</v>
      </c>
      <c r="I32">
        <v>98.6</v>
      </c>
      <c r="K32">
        <f t="shared" si="4"/>
        <v>-2.0283982613927207E-3</v>
      </c>
      <c r="L32">
        <f t="shared" si="5"/>
        <v>-1.3425824348318274E-3</v>
      </c>
      <c r="M32">
        <f t="shared" si="6"/>
        <v>4.8899852941917702E-3</v>
      </c>
      <c r="N32">
        <f t="shared" si="7"/>
        <v>1.003512377240109E-3</v>
      </c>
      <c r="AB32">
        <f t="shared" si="0"/>
        <v>-4.0997349751217604E-4</v>
      </c>
      <c r="AC32">
        <f t="shared" si="1"/>
        <v>-1.664829742319474E-3</v>
      </c>
      <c r="AD32">
        <f t="shared" si="8"/>
        <v>1.2595689283050704E-3</v>
      </c>
      <c r="AE32">
        <f t="shared" si="2"/>
        <v>-1.0698514750834859E-3</v>
      </c>
      <c r="AF32">
        <f t="shared" si="3"/>
        <v>3.0618764666057435E-4</v>
      </c>
      <c r="AG32">
        <f t="shared" si="9"/>
        <v>-1.6875630979012138E-3</v>
      </c>
    </row>
    <row r="33" spans="1:33" x14ac:dyDescent="0.3">
      <c r="A33" s="17">
        <v>45341</v>
      </c>
      <c r="B33">
        <v>99.3</v>
      </c>
      <c r="C33">
        <v>98.5</v>
      </c>
      <c r="D33">
        <v>112.5</v>
      </c>
      <c r="E33">
        <v>111.6</v>
      </c>
      <c r="F33">
        <v>103.25</v>
      </c>
      <c r="G33">
        <v>102.3</v>
      </c>
      <c r="H33">
        <v>99.85</v>
      </c>
      <c r="I33">
        <v>99</v>
      </c>
      <c r="K33">
        <f t="shared" si="4"/>
        <v>0</v>
      </c>
      <c r="L33">
        <f t="shared" si="5"/>
        <v>-4.4792833895636932E-4</v>
      </c>
      <c r="M33">
        <f t="shared" si="6"/>
        <v>-1.9531256208820736E-3</v>
      </c>
      <c r="N33">
        <f t="shared" si="7"/>
        <v>1.5033828940314653E-3</v>
      </c>
      <c r="AB33">
        <f t="shared" si="0"/>
        <v>1.6387933078168585E-3</v>
      </c>
      <c r="AC33">
        <f t="shared" si="1"/>
        <v>-8.3363581911012369E-4</v>
      </c>
      <c r="AD33">
        <f t="shared" si="8"/>
        <v>1.2576781561235023E-3</v>
      </c>
      <c r="AE33">
        <f t="shared" si="2"/>
        <v>6.4660895387222905E-4</v>
      </c>
      <c r="AF33">
        <f t="shared" si="3"/>
        <v>1.6786733667163137E-3</v>
      </c>
      <c r="AG33">
        <f t="shared" si="9"/>
        <v>-7.875250334419923E-4</v>
      </c>
    </row>
    <row r="34" spans="1:33" x14ac:dyDescent="0.3">
      <c r="A34" s="17">
        <v>45342</v>
      </c>
      <c r="B34">
        <v>99.3</v>
      </c>
      <c r="C34">
        <v>98.5</v>
      </c>
      <c r="D34">
        <v>112.8</v>
      </c>
      <c r="E34">
        <v>111.8</v>
      </c>
      <c r="F34">
        <v>103.2</v>
      </c>
      <c r="G34">
        <v>102.2</v>
      </c>
      <c r="H34">
        <v>100</v>
      </c>
      <c r="I34">
        <v>99.1</v>
      </c>
      <c r="K34">
        <f t="shared" si="4"/>
        <v>0</v>
      </c>
      <c r="L34">
        <f t="shared" si="5"/>
        <v>1.7905107737882938E-3</v>
      </c>
      <c r="M34">
        <f t="shared" si="6"/>
        <v>-9.7799518797673699E-4</v>
      </c>
      <c r="N34">
        <f t="shared" si="7"/>
        <v>1.5011261262671913E-3</v>
      </c>
      <c r="AB34">
        <f t="shared" si="0"/>
        <v>0</v>
      </c>
      <c r="AC34">
        <f t="shared" si="1"/>
        <v>1.6664571429082257E-3</v>
      </c>
      <c r="AD34">
        <f t="shared" si="8"/>
        <v>2.5097066425274093E-3</v>
      </c>
      <c r="AE34">
        <f t="shared" si="2"/>
        <v>8.0778872704645444E-4</v>
      </c>
      <c r="AF34">
        <f t="shared" si="3"/>
        <v>1.1576632002810478E-3</v>
      </c>
      <c r="AG34">
        <f t="shared" si="9"/>
        <v>2.0349741553749101E-3</v>
      </c>
    </row>
    <row r="35" spans="1:33" x14ac:dyDescent="0.3">
      <c r="A35" s="17">
        <v>45343</v>
      </c>
      <c r="B35">
        <v>99.3</v>
      </c>
      <c r="C35">
        <v>98.5</v>
      </c>
      <c r="D35">
        <v>112.8</v>
      </c>
      <c r="E35">
        <v>111.8</v>
      </c>
      <c r="F35">
        <v>103.4</v>
      </c>
      <c r="G35">
        <v>102.4</v>
      </c>
      <c r="H35">
        <v>100.3</v>
      </c>
      <c r="I35">
        <v>99.4</v>
      </c>
      <c r="K35">
        <f t="shared" si="4"/>
        <v>0</v>
      </c>
      <c r="L35">
        <f t="shared" si="5"/>
        <v>0</v>
      </c>
      <c r="M35">
        <f t="shared" si="6"/>
        <v>1.9550348358032951E-3</v>
      </c>
      <c r="N35">
        <f t="shared" si="7"/>
        <v>2.9955089797983709E-3</v>
      </c>
      <c r="AB35">
        <f t="shared" si="0"/>
        <v>0</v>
      </c>
      <c r="AC35">
        <f t="shared" si="1"/>
        <v>0</v>
      </c>
      <c r="AD35">
        <f t="shared" si="8"/>
        <v>8.3490102342697616E-4</v>
      </c>
      <c r="AE35">
        <f t="shared" si="2"/>
        <v>0</v>
      </c>
      <c r="AF35">
        <f t="shared" si="3"/>
        <v>3.8511839364820886E-4</v>
      </c>
      <c r="AG35">
        <f t="shared" si="9"/>
        <v>7.656174336117966E-5</v>
      </c>
    </row>
    <row r="36" spans="1:33" x14ac:dyDescent="0.3">
      <c r="A36" s="17">
        <v>45344</v>
      </c>
      <c r="B36">
        <v>99.3</v>
      </c>
      <c r="C36">
        <v>98.5</v>
      </c>
      <c r="D36">
        <v>113.1</v>
      </c>
      <c r="E36">
        <v>111.8</v>
      </c>
      <c r="F36">
        <v>103.4</v>
      </c>
      <c r="G36">
        <v>102.4</v>
      </c>
      <c r="H36">
        <v>100.4</v>
      </c>
      <c r="I36">
        <v>99.4</v>
      </c>
      <c r="K36">
        <f t="shared" si="4"/>
        <v>0</v>
      </c>
      <c r="L36">
        <f t="shared" si="5"/>
        <v>0</v>
      </c>
      <c r="M36">
        <f t="shared" si="6"/>
        <v>0</v>
      </c>
      <c r="N36">
        <f t="shared" si="7"/>
        <v>9.9651228973907601E-4</v>
      </c>
      <c r="AB36">
        <f t="shared" si="0"/>
        <v>0</v>
      </c>
      <c r="AC36">
        <f t="shared" si="1"/>
        <v>2.4935928766347576E-3</v>
      </c>
      <c r="AD36">
        <f t="shared" si="8"/>
        <v>8.3406986248970552E-4</v>
      </c>
      <c r="AE36">
        <f t="shared" si="2"/>
        <v>1.208729683905125E-3</v>
      </c>
      <c r="AF36">
        <f t="shared" si="3"/>
        <v>3.8473500046022239E-4</v>
      </c>
      <c r="AG36">
        <f t="shared" si="9"/>
        <v>2.7771319076274111E-3</v>
      </c>
    </row>
    <row r="37" spans="1:33" x14ac:dyDescent="0.3">
      <c r="A37" s="17">
        <v>45345</v>
      </c>
      <c r="B37">
        <v>99.3</v>
      </c>
      <c r="C37">
        <v>98.5</v>
      </c>
      <c r="D37">
        <v>113.1</v>
      </c>
      <c r="E37">
        <v>111.8</v>
      </c>
      <c r="F37">
        <v>103.7</v>
      </c>
      <c r="G37">
        <v>102.7</v>
      </c>
      <c r="H37">
        <v>100.5</v>
      </c>
      <c r="I37">
        <v>99.5</v>
      </c>
      <c r="K37">
        <f t="shared" si="4"/>
        <v>0</v>
      </c>
      <c r="L37">
        <f t="shared" si="5"/>
        <v>0</v>
      </c>
      <c r="M37">
        <f t="shared" si="6"/>
        <v>2.9254043291051359E-3</v>
      </c>
      <c r="N37">
        <f t="shared" si="7"/>
        <v>9.9552024150161966E-4</v>
      </c>
      <c r="AB37">
        <f t="shared" si="0"/>
        <v>4.2131302696520635E-3</v>
      </c>
      <c r="AC37">
        <f t="shared" si="1"/>
        <v>2.2970480490744896E-3</v>
      </c>
      <c r="AD37">
        <f t="shared" si="8"/>
        <v>-1.4221888565726423E-3</v>
      </c>
      <c r="AE37">
        <f t="shared" si="2"/>
        <v>3.623131131881948E-3</v>
      </c>
      <c r="AF37">
        <f t="shared" si="3"/>
        <v>1.9679187701870573E-3</v>
      </c>
      <c r="AG37">
        <f t="shared" si="9"/>
        <v>2.0914719434674605E-3</v>
      </c>
    </row>
    <row r="38" spans="1:33" x14ac:dyDescent="0.3">
      <c r="A38" s="17">
        <v>45348</v>
      </c>
      <c r="B38">
        <v>99.45</v>
      </c>
      <c r="C38">
        <v>98.65</v>
      </c>
      <c r="D38">
        <v>113.1</v>
      </c>
      <c r="E38">
        <v>112.3</v>
      </c>
      <c r="F38">
        <v>103.6</v>
      </c>
      <c r="G38">
        <v>102.95</v>
      </c>
      <c r="H38">
        <v>100.3</v>
      </c>
      <c r="I38">
        <v>99.4</v>
      </c>
      <c r="K38">
        <f t="shared" si="4"/>
        <v>1.5216842905811487E-3</v>
      </c>
      <c r="L38">
        <f t="shared" si="5"/>
        <v>4.4623010233986859E-3</v>
      </c>
      <c r="M38">
        <f t="shared" si="6"/>
        <v>2.4313165392859898E-3</v>
      </c>
      <c r="N38">
        <f t="shared" si="7"/>
        <v>-1.9920325312406525E-3</v>
      </c>
      <c r="AB38">
        <f t="shared" si="0"/>
        <v>-4.2957761177323011E-5</v>
      </c>
      <c r="AC38">
        <f t="shared" si="1"/>
        <v>-2.1472687943142298E-3</v>
      </c>
      <c r="AD38">
        <f t="shared" si="8"/>
        <v>-8.2218958579018033E-5</v>
      </c>
      <c r="AE38">
        <f t="shared" si="2"/>
        <v>-1.0045806122476267E-3</v>
      </c>
      <c r="AF38">
        <f t="shared" si="3"/>
        <v>0</v>
      </c>
      <c r="AG38">
        <f t="shared" si="9"/>
        <v>-2.2445192114181429E-3</v>
      </c>
    </row>
    <row r="39" spans="1:33" x14ac:dyDescent="0.3">
      <c r="A39" s="17">
        <v>45349</v>
      </c>
      <c r="B39">
        <v>99.4</v>
      </c>
      <c r="C39">
        <v>98.6</v>
      </c>
      <c r="D39">
        <v>113.3</v>
      </c>
      <c r="E39">
        <v>112.3</v>
      </c>
      <c r="F39">
        <v>103.6</v>
      </c>
      <c r="G39">
        <v>102.7</v>
      </c>
      <c r="H39">
        <v>100.3</v>
      </c>
      <c r="I39">
        <v>99.3</v>
      </c>
      <c r="K39">
        <f t="shared" si="4"/>
        <v>-5.0697086003468348E-4</v>
      </c>
      <c r="L39">
        <f t="shared" si="5"/>
        <v>0</v>
      </c>
      <c r="M39">
        <f t="shared" si="6"/>
        <v>-2.4313165392858558E-3</v>
      </c>
      <c r="N39">
        <f t="shared" si="7"/>
        <v>0</v>
      </c>
      <c r="AB39">
        <f t="shared" si="0"/>
        <v>8.1465587745276622E-4</v>
      </c>
      <c r="AC39">
        <f t="shared" si="1"/>
        <v>1.6583518014843517E-3</v>
      </c>
      <c r="AD39">
        <f t="shared" si="8"/>
        <v>1.2520397463464527E-3</v>
      </c>
      <c r="AE39">
        <f t="shared" si="2"/>
        <v>1.3261706379374893E-3</v>
      </c>
      <c r="AF39">
        <f t="shared" si="3"/>
        <v>1.123625238456201E-3</v>
      </c>
      <c r="AG39">
        <f t="shared" si="9"/>
        <v>1.9108657513058768E-3</v>
      </c>
    </row>
    <row r="40" spans="1:33" x14ac:dyDescent="0.3">
      <c r="A40" s="17">
        <v>45350</v>
      </c>
      <c r="B40">
        <v>99.4</v>
      </c>
      <c r="C40">
        <v>98.6</v>
      </c>
      <c r="D40">
        <v>113.4</v>
      </c>
      <c r="E40">
        <v>112.4</v>
      </c>
      <c r="F40">
        <v>103.8</v>
      </c>
      <c r="G40">
        <v>102.9</v>
      </c>
      <c r="H40">
        <v>100.45</v>
      </c>
      <c r="I40">
        <v>99.45</v>
      </c>
      <c r="K40">
        <f t="shared" si="4"/>
        <v>0</v>
      </c>
      <c r="L40">
        <f t="shared" si="5"/>
        <v>8.9007571519333028E-4</v>
      </c>
      <c r="M40">
        <f t="shared" si="6"/>
        <v>1.9455259054913527E-3</v>
      </c>
      <c r="N40">
        <f t="shared" si="7"/>
        <v>1.4943962930537263E-3</v>
      </c>
      <c r="AB40">
        <f t="shared" si="0"/>
        <v>-2.575150289221981E-3</v>
      </c>
      <c r="AC40">
        <f t="shared" si="1"/>
        <v>-2.2472591435497748E-4</v>
      </c>
      <c r="AD40">
        <f t="shared" si="8"/>
        <v>-2.4690726767165523E-4</v>
      </c>
      <c r="AE40">
        <f t="shared" si="2"/>
        <v>-1.5683293015973027E-3</v>
      </c>
      <c r="AF40">
        <f t="shared" si="3"/>
        <v>-1.6397347594278076E-3</v>
      </c>
      <c r="AG40">
        <f t="shared" si="9"/>
        <v>0</v>
      </c>
    </row>
    <row r="41" spans="1:33" x14ac:dyDescent="0.3">
      <c r="A41" s="17">
        <v>45351</v>
      </c>
      <c r="B41">
        <v>99.2</v>
      </c>
      <c r="C41">
        <v>98.45</v>
      </c>
      <c r="D41">
        <v>113.1</v>
      </c>
      <c r="E41">
        <v>112.1</v>
      </c>
      <c r="F41">
        <v>103.85</v>
      </c>
      <c r="G41">
        <v>102.9</v>
      </c>
      <c r="H41">
        <v>100.45</v>
      </c>
      <c r="I41">
        <v>99.45</v>
      </c>
      <c r="K41">
        <f t="shared" si="4"/>
        <v>-1.5224565234551268E-3</v>
      </c>
      <c r="L41">
        <f t="shared" si="5"/>
        <v>-2.6726073814765483E-3</v>
      </c>
      <c r="M41">
        <f t="shared" si="6"/>
        <v>0</v>
      </c>
      <c r="N41">
        <f t="shared" si="7"/>
        <v>0</v>
      </c>
      <c r="AB41">
        <f t="shared" si="0"/>
        <v>-7.7381382227758536E-4</v>
      </c>
      <c r="AC41">
        <f t="shared" si="1"/>
        <v>-4.9098193423225203E-3</v>
      </c>
      <c r="AD41">
        <f t="shared" si="8"/>
        <v>-1.1696955494397258E-3</v>
      </c>
      <c r="AE41">
        <f t="shared" si="2"/>
        <v>-2.9399957013103968E-3</v>
      </c>
      <c r="AF41">
        <f t="shared" si="3"/>
        <v>-1.1250873309340706E-3</v>
      </c>
      <c r="AG41">
        <f t="shared" si="9"/>
        <v>-5.5134861161059926E-3</v>
      </c>
    </row>
    <row r="42" spans="1:33" x14ac:dyDescent="0.3">
      <c r="A42" s="17">
        <v>45352</v>
      </c>
      <c r="B42">
        <v>99.4</v>
      </c>
      <c r="C42">
        <v>98.5</v>
      </c>
      <c r="D42">
        <v>113.3</v>
      </c>
      <c r="E42">
        <v>112</v>
      </c>
      <c r="F42">
        <v>103.3</v>
      </c>
      <c r="G42">
        <v>102.3</v>
      </c>
      <c r="H42">
        <v>100.3</v>
      </c>
      <c r="I42">
        <v>99.3</v>
      </c>
      <c r="K42">
        <f t="shared" si="4"/>
        <v>5.0774309290865511E-4</v>
      </c>
      <c r="L42">
        <f t="shared" si="5"/>
        <v>-8.9245878301961123E-4</v>
      </c>
      <c r="M42">
        <f t="shared" si="6"/>
        <v>-5.8479698824232115E-3</v>
      </c>
      <c r="N42">
        <f t="shared" si="7"/>
        <v>-1.4943962930536569E-3</v>
      </c>
      <c r="AB42">
        <f t="shared" si="0"/>
        <v>7.7381382227755414E-4</v>
      </c>
      <c r="AC42">
        <f t="shared" si="1"/>
        <v>3.4156571473182207E-4</v>
      </c>
      <c r="AD42">
        <f t="shared" si="8"/>
        <v>7.5255682652032043E-4</v>
      </c>
      <c r="AE42">
        <f t="shared" si="2"/>
        <v>7.2560705149672883E-4</v>
      </c>
      <c r="AF42">
        <f t="shared" si="3"/>
        <v>9.3267195427084652E-4</v>
      </c>
      <c r="AG42">
        <f t="shared" si="9"/>
        <v>5.2765889228060311E-4</v>
      </c>
    </row>
    <row r="43" spans="1:33" x14ac:dyDescent="0.3">
      <c r="A43" s="17">
        <v>45355</v>
      </c>
      <c r="B43">
        <v>99.4</v>
      </c>
      <c r="C43">
        <v>98.45</v>
      </c>
      <c r="D43">
        <v>113.1</v>
      </c>
      <c r="E43">
        <v>112.1</v>
      </c>
      <c r="F43">
        <v>103.5</v>
      </c>
      <c r="G43">
        <v>102.35</v>
      </c>
      <c r="H43">
        <v>100.4</v>
      </c>
      <c r="I43">
        <v>99.2</v>
      </c>
      <c r="K43">
        <f t="shared" si="4"/>
        <v>-5.0774309290857434E-4</v>
      </c>
      <c r="L43">
        <f t="shared" si="5"/>
        <v>8.924587830195697E-4</v>
      </c>
      <c r="M43">
        <f t="shared" si="6"/>
        <v>4.886391497177379E-4</v>
      </c>
      <c r="N43">
        <f t="shared" si="7"/>
        <v>9.9651228973907601E-4</v>
      </c>
      <c r="AB43">
        <f t="shared" si="0"/>
        <v>-4.5877637998750038E-3</v>
      </c>
      <c r="AC43">
        <f t="shared" si="1"/>
        <v>-1.4001557702708351E-3</v>
      </c>
      <c r="AD43">
        <f t="shared" si="8"/>
        <v>6.692559333419609E-4</v>
      </c>
      <c r="AE43">
        <f t="shared" si="2"/>
        <v>-3.4921917375283352E-3</v>
      </c>
      <c r="AF43">
        <f t="shared" si="3"/>
        <v>-2.6328749116897297E-3</v>
      </c>
      <c r="AG43">
        <f t="shared" si="9"/>
        <v>-1.2774677323760413E-3</v>
      </c>
    </row>
    <row r="44" spans="1:33" x14ac:dyDescent="0.3">
      <c r="A44" s="17">
        <v>45356</v>
      </c>
      <c r="B44">
        <v>99.35</v>
      </c>
      <c r="C44">
        <v>98.35</v>
      </c>
      <c r="D44">
        <v>113.15</v>
      </c>
      <c r="E44">
        <v>111.55</v>
      </c>
      <c r="F44">
        <v>103.4</v>
      </c>
      <c r="G44">
        <v>102.2</v>
      </c>
      <c r="H44">
        <v>100.5</v>
      </c>
      <c r="I44">
        <v>99.2</v>
      </c>
      <c r="K44">
        <f t="shared" si="4"/>
        <v>-1.0162602500665902E-3</v>
      </c>
      <c r="L44">
        <f t="shared" si="5"/>
        <v>-4.9184091995726409E-3</v>
      </c>
      <c r="M44">
        <f t="shared" si="6"/>
        <v>-1.4666343376943927E-3</v>
      </c>
      <c r="N44">
        <f t="shared" si="7"/>
        <v>9.9552024150161966E-4</v>
      </c>
      <c r="AB44">
        <f t="shared" si="0"/>
        <v>1.9627509440592601E-3</v>
      </c>
      <c r="AC44">
        <f t="shared" si="1"/>
        <v>2.6675964236046282E-4</v>
      </c>
      <c r="AD44">
        <f t="shared" si="8"/>
        <v>-9.9905145588720032E-4</v>
      </c>
      <c r="AE44">
        <f t="shared" si="2"/>
        <v>1.5157654055795318E-3</v>
      </c>
      <c r="AF44">
        <f t="shared" si="3"/>
        <v>9.8874603867730093E-4</v>
      </c>
      <c r="AG44">
        <f t="shared" si="9"/>
        <v>3.7505290304526076E-4</v>
      </c>
    </row>
    <row r="45" spans="1:33" x14ac:dyDescent="0.3">
      <c r="A45" s="17">
        <v>45357</v>
      </c>
      <c r="B45">
        <v>99.35</v>
      </c>
      <c r="C45">
        <v>98.25</v>
      </c>
      <c r="D45">
        <v>113.1</v>
      </c>
      <c r="E45">
        <v>111.8</v>
      </c>
      <c r="F45">
        <v>103.55</v>
      </c>
      <c r="G45">
        <v>102.25</v>
      </c>
      <c r="H45">
        <v>100.4</v>
      </c>
      <c r="I45">
        <v>99.15</v>
      </c>
      <c r="K45">
        <f t="shared" si="4"/>
        <v>-1.0172940856973615E-3</v>
      </c>
      <c r="L45">
        <f t="shared" si="5"/>
        <v>2.2386398424571611E-3</v>
      </c>
      <c r="M45">
        <f t="shared" si="6"/>
        <v>4.8911715330705343E-4</v>
      </c>
      <c r="N45">
        <f t="shared" si="7"/>
        <v>-9.9552024150159385E-4</v>
      </c>
      <c r="AB45">
        <f t="shared" si="0"/>
        <v>-1.2946401618217919E-4</v>
      </c>
      <c r="AC45">
        <f t="shared" si="1"/>
        <v>-6.4244689759958718E-4</v>
      </c>
      <c r="AD45">
        <f t="shared" si="8"/>
        <v>-2.7549906985937706E-3</v>
      </c>
      <c r="AE45">
        <f t="shared" si="2"/>
        <v>-2.0209528516361915E-4</v>
      </c>
      <c r="AF45">
        <f t="shared" si="3"/>
        <v>-1.1565084222970997E-3</v>
      </c>
      <c r="AG45">
        <f t="shared" si="9"/>
        <v>-6.8145292271826067E-4</v>
      </c>
    </row>
    <row r="46" spans="1:33" x14ac:dyDescent="0.3">
      <c r="A46" s="17">
        <v>45358</v>
      </c>
      <c r="B46">
        <v>99.3</v>
      </c>
      <c r="C46">
        <v>98.1</v>
      </c>
      <c r="D46">
        <v>113.1</v>
      </c>
      <c r="E46">
        <v>111.8</v>
      </c>
      <c r="F46">
        <v>103.2</v>
      </c>
      <c r="G46">
        <v>102.2</v>
      </c>
      <c r="H46">
        <v>100.1</v>
      </c>
      <c r="I46">
        <v>98.9</v>
      </c>
      <c r="K46">
        <f t="shared" si="4"/>
        <v>-1.5278841780532869E-3</v>
      </c>
      <c r="L46">
        <f t="shared" si="5"/>
        <v>0</v>
      </c>
      <c r="M46">
        <f t="shared" si="6"/>
        <v>-4.8911715330703619E-4</v>
      </c>
      <c r="N46">
        <f t="shared" si="7"/>
        <v>-2.9925209364540287E-3</v>
      </c>
      <c r="AB46">
        <f t="shared" si="0"/>
        <v>-7.3269855048739606E-4</v>
      </c>
      <c r="AC46">
        <f t="shared" si="1"/>
        <v>1.5038966446213108E-4</v>
      </c>
      <c r="AD46">
        <f t="shared" si="8"/>
        <v>1.0018020551632455E-3</v>
      </c>
      <c r="AE46">
        <f t="shared" si="2"/>
        <v>-5.2511520078636111E-4</v>
      </c>
      <c r="AF46">
        <f t="shared" si="3"/>
        <v>-1.6313602632479763E-4</v>
      </c>
      <c r="AG46">
        <f t="shared" si="9"/>
        <v>7.6714637532062621E-5</v>
      </c>
    </row>
    <row r="47" spans="1:33" x14ac:dyDescent="0.3">
      <c r="A47" s="17">
        <v>45359</v>
      </c>
      <c r="B47">
        <v>99.3</v>
      </c>
      <c r="C47">
        <v>98.2</v>
      </c>
      <c r="D47">
        <v>112.9</v>
      </c>
      <c r="E47">
        <v>111.7</v>
      </c>
      <c r="F47">
        <v>103.4</v>
      </c>
      <c r="G47">
        <v>102.2</v>
      </c>
      <c r="H47">
        <v>100.2</v>
      </c>
      <c r="I47">
        <v>99</v>
      </c>
      <c r="K47">
        <f t="shared" si="4"/>
        <v>1.0188487891028481E-3</v>
      </c>
      <c r="L47">
        <f t="shared" si="5"/>
        <v>-8.948546458437107E-4</v>
      </c>
      <c r="M47">
        <f t="shared" si="6"/>
        <v>0</v>
      </c>
      <c r="N47">
        <f t="shared" si="7"/>
        <v>9.9850232958960004E-4</v>
      </c>
      <c r="AB47">
        <f t="shared" si="0"/>
        <v>0</v>
      </c>
      <c r="AC47">
        <f t="shared" si="1"/>
        <v>0</v>
      </c>
      <c r="AD47">
        <f t="shared" si="8"/>
        <v>0</v>
      </c>
      <c r="AE47">
        <f t="shared" si="2"/>
        <v>0</v>
      </c>
      <c r="AF47">
        <f t="shared" si="3"/>
        <v>0</v>
      </c>
      <c r="AG47">
        <f t="shared" si="9"/>
        <v>0</v>
      </c>
    </row>
    <row r="48" spans="1:33" x14ac:dyDescent="0.3">
      <c r="A48" s="17">
        <v>45362</v>
      </c>
      <c r="B48">
        <v>99.3</v>
      </c>
      <c r="C48">
        <v>98.2</v>
      </c>
      <c r="D48">
        <v>112.9</v>
      </c>
      <c r="E48">
        <v>111.7</v>
      </c>
      <c r="F48">
        <v>103.4</v>
      </c>
      <c r="G48">
        <v>102.2</v>
      </c>
      <c r="H48">
        <v>100.2</v>
      </c>
      <c r="I48">
        <v>99</v>
      </c>
      <c r="K48">
        <f t="shared" si="4"/>
        <v>0</v>
      </c>
      <c r="L48">
        <f t="shared" si="5"/>
        <v>0</v>
      </c>
      <c r="M48">
        <f t="shared" si="6"/>
        <v>0</v>
      </c>
      <c r="N48">
        <f t="shared" si="7"/>
        <v>0</v>
      </c>
      <c r="AB48">
        <f t="shared" si="0"/>
        <v>0</v>
      </c>
      <c r="AC48">
        <f t="shared" si="1"/>
        <v>0</v>
      </c>
      <c r="AD48">
        <f t="shared" si="8"/>
        <v>0</v>
      </c>
      <c r="AE48">
        <f t="shared" si="2"/>
        <v>0</v>
      </c>
      <c r="AF48">
        <f t="shared" si="3"/>
        <v>0</v>
      </c>
      <c r="AG48">
        <f t="shared" si="9"/>
        <v>0</v>
      </c>
    </row>
    <row r="49" spans="1:33" x14ac:dyDescent="0.3">
      <c r="A49" s="17">
        <v>45363</v>
      </c>
      <c r="B49">
        <v>99.3</v>
      </c>
      <c r="C49">
        <v>98.2</v>
      </c>
      <c r="D49">
        <v>112.9</v>
      </c>
      <c r="E49">
        <v>111.7</v>
      </c>
      <c r="F49">
        <v>103.4</v>
      </c>
      <c r="G49">
        <v>102.2</v>
      </c>
      <c r="H49">
        <v>100.2</v>
      </c>
      <c r="I49">
        <v>99</v>
      </c>
      <c r="K49">
        <f t="shared" si="4"/>
        <v>0</v>
      </c>
      <c r="L49">
        <f t="shared" si="5"/>
        <v>0</v>
      </c>
      <c r="M49">
        <f t="shared" si="6"/>
        <v>0</v>
      </c>
      <c r="N49">
        <f t="shared" si="7"/>
        <v>0</v>
      </c>
      <c r="AB49">
        <f t="shared" si="0"/>
        <v>4.3132697346423316E-5</v>
      </c>
      <c r="AC49">
        <f t="shared" si="1"/>
        <v>9.0877323121910743E-4</v>
      </c>
      <c r="AD49">
        <f t="shared" si="8"/>
        <v>-1.5914190225239609E-3</v>
      </c>
      <c r="AE49">
        <f t="shared" si="2"/>
        <v>4.0409177037945693E-4</v>
      </c>
      <c r="AF49">
        <f t="shared" si="3"/>
        <v>-7.7216064857061316E-4</v>
      </c>
      <c r="AG49">
        <f t="shared" si="9"/>
        <v>7.4935015667003857E-4</v>
      </c>
    </row>
    <row r="50" spans="1:33" x14ac:dyDescent="0.3">
      <c r="A50" s="17">
        <v>45364</v>
      </c>
      <c r="B50">
        <v>99.35</v>
      </c>
      <c r="C50">
        <v>98.25</v>
      </c>
      <c r="D50">
        <v>112.85</v>
      </c>
      <c r="E50">
        <v>111.7</v>
      </c>
      <c r="F50">
        <v>103.3</v>
      </c>
      <c r="G50">
        <v>102.3</v>
      </c>
      <c r="H50">
        <v>100</v>
      </c>
      <c r="I50">
        <v>98.9</v>
      </c>
      <c r="K50">
        <f t="shared" si="4"/>
        <v>5.0903538895028194E-4</v>
      </c>
      <c r="L50">
        <f t="shared" si="5"/>
        <v>0</v>
      </c>
      <c r="M50">
        <f t="shared" si="6"/>
        <v>9.7799518797670989E-4</v>
      </c>
      <c r="N50">
        <f t="shared" si="7"/>
        <v>-1.9980026626731087E-3</v>
      </c>
      <c r="AB50">
        <f t="shared" si="0"/>
        <v>4.3110752447316489E-5</v>
      </c>
      <c r="AC50">
        <f t="shared" si="1"/>
        <v>7.5099183965873629E-5</v>
      </c>
      <c r="AD50">
        <f t="shared" si="8"/>
        <v>8.2511776047754863E-5</v>
      </c>
      <c r="AE50">
        <f t="shared" si="2"/>
        <v>0</v>
      </c>
      <c r="AF50">
        <f t="shared" si="3"/>
        <v>0</v>
      </c>
      <c r="AG50">
        <f t="shared" si="9"/>
        <v>0</v>
      </c>
    </row>
    <row r="51" spans="1:33" x14ac:dyDescent="0.3">
      <c r="A51" s="17">
        <v>45365</v>
      </c>
      <c r="B51">
        <v>99.3</v>
      </c>
      <c r="C51">
        <v>98.3</v>
      </c>
      <c r="D51">
        <v>112.8</v>
      </c>
      <c r="E51">
        <v>111.7</v>
      </c>
      <c r="F51">
        <v>103.3</v>
      </c>
      <c r="G51">
        <v>102.3</v>
      </c>
      <c r="H51">
        <v>100</v>
      </c>
      <c r="I51">
        <v>99</v>
      </c>
      <c r="K51">
        <f t="shared" si="4"/>
        <v>5.0877640375020044E-4</v>
      </c>
      <c r="L51">
        <f t="shared" si="5"/>
        <v>0</v>
      </c>
      <c r="M51">
        <f t="shared" si="6"/>
        <v>0</v>
      </c>
      <c r="N51">
        <f t="shared" si="7"/>
        <v>0</v>
      </c>
      <c r="AB51">
        <f t="shared" si="0"/>
        <v>-1.6402617613872565E-3</v>
      </c>
      <c r="AC51">
        <f t="shared" si="1"/>
        <v>-3.7577984024805681E-3</v>
      </c>
      <c r="AD51">
        <f t="shared" si="8"/>
        <v>-2.5172470844286293E-3</v>
      </c>
      <c r="AE51">
        <f t="shared" si="2"/>
        <v>-2.8731755183843237E-3</v>
      </c>
      <c r="AF51">
        <f t="shared" si="3"/>
        <v>-2.2606645094807734E-3</v>
      </c>
      <c r="AG51">
        <f t="shared" si="9"/>
        <v>-4.3006597478637831E-3</v>
      </c>
    </row>
    <row r="52" spans="1:33" x14ac:dyDescent="0.3">
      <c r="A52" s="17">
        <v>45366</v>
      </c>
      <c r="B52">
        <v>99.2</v>
      </c>
      <c r="C52">
        <v>98.3</v>
      </c>
      <c r="D52">
        <v>112.7</v>
      </c>
      <c r="E52">
        <v>111.5</v>
      </c>
      <c r="F52">
        <v>103.15</v>
      </c>
      <c r="G52">
        <v>101.85</v>
      </c>
      <c r="H52">
        <v>99.7</v>
      </c>
      <c r="I52">
        <v>98.7</v>
      </c>
      <c r="K52">
        <f t="shared" si="4"/>
        <v>0</v>
      </c>
      <c r="L52">
        <f t="shared" si="5"/>
        <v>-1.7921151749815767E-3</v>
      </c>
      <c r="M52">
        <f t="shared" si="6"/>
        <v>-4.4085302847659685E-3</v>
      </c>
      <c r="N52">
        <f t="shared" si="7"/>
        <v>-3.0045090202987243E-3</v>
      </c>
      <c r="AB52">
        <f t="shared" si="0"/>
        <v>-4.5363590752106088E-4</v>
      </c>
      <c r="AC52">
        <f t="shared" si="1"/>
        <v>-1.3313891049629785E-3</v>
      </c>
      <c r="AD52">
        <f t="shared" si="8"/>
        <v>3.3755497011791916E-4</v>
      </c>
      <c r="AE52">
        <f t="shared" si="2"/>
        <v>-8.7217195349642953E-4</v>
      </c>
      <c r="AF52">
        <f t="shared" si="3"/>
        <v>-8.142293807471103E-5</v>
      </c>
      <c r="AG52">
        <f t="shared" si="9"/>
        <v>-1.3220841734873055E-3</v>
      </c>
    </row>
    <row r="53" spans="1:33" x14ac:dyDescent="0.3">
      <c r="A53" s="17">
        <v>45369</v>
      </c>
      <c r="B53">
        <v>99.25</v>
      </c>
      <c r="C53">
        <v>98.25</v>
      </c>
      <c r="D53">
        <v>112.65</v>
      </c>
      <c r="E53">
        <v>111.45</v>
      </c>
      <c r="F53">
        <v>102.8</v>
      </c>
      <c r="G53">
        <v>101.7</v>
      </c>
      <c r="H53">
        <v>99.75</v>
      </c>
      <c r="I53">
        <v>98.65</v>
      </c>
      <c r="K53">
        <f t="shared" si="4"/>
        <v>-5.0877640375022115E-4</v>
      </c>
      <c r="L53">
        <f t="shared" si="5"/>
        <v>-4.4853106829552105E-4</v>
      </c>
      <c r="M53">
        <f t="shared" si="6"/>
        <v>-1.4738396183004415E-3</v>
      </c>
      <c r="N53">
        <f t="shared" si="7"/>
        <v>5.0137880218015447E-4</v>
      </c>
      <c r="AB53">
        <f t="shared" si="0"/>
        <v>8.2086625941064071E-4</v>
      </c>
      <c r="AC53">
        <f t="shared" si="1"/>
        <v>0</v>
      </c>
      <c r="AD53">
        <f t="shared" si="8"/>
        <v>-4.2006674616564324E-4</v>
      </c>
      <c r="AE53">
        <f t="shared" si="2"/>
        <v>5.2629258928663352E-4</v>
      </c>
      <c r="AF53">
        <f t="shared" si="3"/>
        <v>3.5648849926375048E-4</v>
      </c>
      <c r="AG53">
        <f t="shared" si="9"/>
        <v>-3.8520784514660155E-5</v>
      </c>
    </row>
    <row r="54" spans="1:33" x14ac:dyDescent="0.3">
      <c r="A54" s="17">
        <v>45370</v>
      </c>
      <c r="B54">
        <v>99.25</v>
      </c>
      <c r="C54">
        <v>98.25</v>
      </c>
      <c r="D54">
        <v>112.65</v>
      </c>
      <c r="E54">
        <v>111.55</v>
      </c>
      <c r="F54">
        <v>102.8</v>
      </c>
      <c r="G54">
        <v>101.7</v>
      </c>
      <c r="H54">
        <v>99.7</v>
      </c>
      <c r="I54">
        <v>98.7</v>
      </c>
      <c r="K54">
        <f t="shared" si="4"/>
        <v>0</v>
      </c>
      <c r="L54">
        <f t="shared" si="5"/>
        <v>8.9686104666367172E-4</v>
      </c>
      <c r="M54">
        <f t="shared" si="6"/>
        <v>0</v>
      </c>
      <c r="N54">
        <f t="shared" si="7"/>
        <v>-5.013788021801137E-4</v>
      </c>
      <c r="AB54">
        <f t="shared" si="0"/>
        <v>1.639527205794346E-3</v>
      </c>
      <c r="AC54">
        <f t="shared" si="1"/>
        <v>2.0927890628103245E-3</v>
      </c>
      <c r="AD54">
        <f t="shared" si="8"/>
        <v>2.9360539452745766E-3</v>
      </c>
      <c r="AE54">
        <f t="shared" si="2"/>
        <v>2.0656176359282047E-3</v>
      </c>
      <c r="AF54">
        <f t="shared" si="3"/>
        <v>2.453356957784935E-3</v>
      </c>
      <c r="AG54">
        <f t="shared" si="9"/>
        <v>2.5358029295262795E-3</v>
      </c>
    </row>
    <row r="55" spans="1:33" x14ac:dyDescent="0.3">
      <c r="A55" s="17">
        <v>45371</v>
      </c>
      <c r="B55">
        <v>99.25</v>
      </c>
      <c r="C55">
        <v>98.25</v>
      </c>
      <c r="D55">
        <v>112.85</v>
      </c>
      <c r="E55">
        <v>111.75</v>
      </c>
      <c r="F55">
        <v>102.85</v>
      </c>
      <c r="G55">
        <v>101.95</v>
      </c>
      <c r="H55">
        <v>100.05</v>
      </c>
      <c r="I55">
        <v>99.05</v>
      </c>
      <c r="K55">
        <f t="shared" si="4"/>
        <v>0</v>
      </c>
      <c r="L55">
        <f t="shared" si="5"/>
        <v>1.7913126151366107E-3</v>
      </c>
      <c r="M55">
        <f t="shared" si="6"/>
        <v>2.4551939659498575E-3</v>
      </c>
      <c r="N55">
        <f t="shared" si="7"/>
        <v>3.5043840619497332E-3</v>
      </c>
      <c r="AB55">
        <f t="shared" si="0"/>
        <v>1.7231156341191101E-4</v>
      </c>
      <c r="AC55">
        <f t="shared" si="1"/>
        <v>1.1358467999859016E-3</v>
      </c>
      <c r="AD55">
        <f t="shared" si="8"/>
        <v>1.1667817137097202E-3</v>
      </c>
      <c r="AE55">
        <f t="shared" si="2"/>
        <v>4.0508219154372193E-4</v>
      </c>
      <c r="AF55">
        <f t="shared" si="3"/>
        <v>3.8608022795792209E-4</v>
      </c>
      <c r="AG55">
        <f t="shared" si="9"/>
        <v>9.8182194755623781E-4</v>
      </c>
    </row>
    <row r="56" spans="1:33" x14ac:dyDescent="0.3">
      <c r="A56" s="17">
        <v>45372</v>
      </c>
      <c r="B56">
        <v>99.55</v>
      </c>
      <c r="C56">
        <v>98.45</v>
      </c>
      <c r="D56">
        <v>112.85</v>
      </c>
      <c r="E56">
        <v>111.75</v>
      </c>
      <c r="F56">
        <v>103.15</v>
      </c>
      <c r="G56">
        <v>102.05</v>
      </c>
      <c r="H56">
        <v>100.15</v>
      </c>
      <c r="I56">
        <v>99.25</v>
      </c>
      <c r="K56">
        <f t="shared" si="4"/>
        <v>2.0335543357639482E-3</v>
      </c>
      <c r="L56">
        <f t="shared" si="5"/>
        <v>0</v>
      </c>
      <c r="M56">
        <f t="shared" si="6"/>
        <v>9.8039223538950895E-4</v>
      </c>
      <c r="N56">
        <f t="shared" si="7"/>
        <v>9.9900108208483308E-4</v>
      </c>
      <c r="AB56">
        <f t="shared" si="0"/>
        <v>2.0452875950070734E-3</v>
      </c>
      <c r="AC56">
        <f t="shared" si="1"/>
        <v>-1.25382600263579E-3</v>
      </c>
      <c r="AD56">
        <f t="shared" si="8"/>
        <v>-4.1838857682286709E-4</v>
      </c>
      <c r="AE56">
        <f t="shared" si="2"/>
        <v>7.035493459016252E-4</v>
      </c>
      <c r="AF56">
        <f t="shared" si="3"/>
        <v>1.178033749833995E-3</v>
      </c>
      <c r="AG56">
        <f t="shared" si="9"/>
        <v>-1.3963033438677715E-3</v>
      </c>
    </row>
    <row r="57" spans="1:33" x14ac:dyDescent="0.3">
      <c r="A57" s="17">
        <v>45373</v>
      </c>
      <c r="B57">
        <v>99.35</v>
      </c>
      <c r="C57">
        <v>98.45</v>
      </c>
      <c r="D57">
        <v>113.3</v>
      </c>
      <c r="E57">
        <v>112</v>
      </c>
      <c r="F57">
        <v>102.9</v>
      </c>
      <c r="G57">
        <v>101.9</v>
      </c>
      <c r="H57">
        <v>100.1</v>
      </c>
      <c r="I57">
        <v>99.2</v>
      </c>
      <c r="K57">
        <f t="shared" si="4"/>
        <v>0</v>
      </c>
      <c r="L57">
        <f t="shared" si="5"/>
        <v>2.2346378014163628E-3</v>
      </c>
      <c r="M57">
        <f t="shared" si="6"/>
        <v>-1.4709490271745675E-3</v>
      </c>
      <c r="N57">
        <f t="shared" si="7"/>
        <v>-4.9937579065250108E-4</v>
      </c>
      <c r="AB57">
        <f t="shared" si="0"/>
        <v>-2.174488405971676E-3</v>
      </c>
      <c r="AC57">
        <f t="shared" si="1"/>
        <v>-2.2506857153623553E-4</v>
      </c>
      <c r="AD57">
        <f t="shared" si="8"/>
        <v>-1.9229305203994308E-3</v>
      </c>
      <c r="AE57">
        <f t="shared" si="2"/>
        <v>-1.3113216579092321E-3</v>
      </c>
      <c r="AF57">
        <f t="shared" si="3"/>
        <v>-2.1439584617279931E-3</v>
      </c>
      <c r="AG57">
        <f t="shared" si="9"/>
        <v>-1.5365945742991334E-4</v>
      </c>
    </row>
    <row r="58" spans="1:33" x14ac:dyDescent="0.3">
      <c r="A58" s="17">
        <v>45376</v>
      </c>
      <c r="B58">
        <v>99.2</v>
      </c>
      <c r="C58">
        <v>98.3</v>
      </c>
      <c r="D58">
        <v>112.85</v>
      </c>
      <c r="E58">
        <v>111.75</v>
      </c>
      <c r="F58">
        <v>102.8</v>
      </c>
      <c r="G58">
        <v>101.9</v>
      </c>
      <c r="H58">
        <v>99.9</v>
      </c>
      <c r="I58">
        <v>99</v>
      </c>
      <c r="K58">
        <f t="shared" si="4"/>
        <v>-1.5247779320136923E-3</v>
      </c>
      <c r="L58">
        <f t="shared" si="5"/>
        <v>-2.2346378014163771E-3</v>
      </c>
      <c r="M58">
        <f t="shared" si="6"/>
        <v>0</v>
      </c>
      <c r="N58">
        <f t="shared" si="7"/>
        <v>-2.000000666666999E-3</v>
      </c>
      <c r="AB58">
        <f t="shared" si="0"/>
        <v>-4.9274187267454419E-3</v>
      </c>
      <c r="AC58">
        <f t="shared" si="1"/>
        <v>-2.5131985491686159E-3</v>
      </c>
      <c r="AD58">
        <f t="shared" si="8"/>
        <v>-2.0992822500961366E-3</v>
      </c>
      <c r="AE58">
        <f t="shared" si="2"/>
        <v>-4.3774128467076326E-3</v>
      </c>
      <c r="AF58">
        <f t="shared" si="3"/>
        <v>-4.2713608845451308E-3</v>
      </c>
      <c r="AG58">
        <f t="shared" si="9"/>
        <v>-2.9143874971661356E-3</v>
      </c>
    </row>
    <row r="59" spans="1:33" x14ac:dyDescent="0.3">
      <c r="A59" s="17">
        <v>45377</v>
      </c>
      <c r="B59">
        <v>99.2</v>
      </c>
      <c r="C59">
        <v>98.3</v>
      </c>
      <c r="D59">
        <v>112.35</v>
      </c>
      <c r="E59">
        <v>111.15</v>
      </c>
      <c r="F59">
        <v>102.6</v>
      </c>
      <c r="G59">
        <v>101.6</v>
      </c>
      <c r="H59">
        <v>99.65</v>
      </c>
      <c r="I59">
        <v>98.55</v>
      </c>
      <c r="K59">
        <f t="shared" si="4"/>
        <v>0</v>
      </c>
      <c r="L59">
        <f t="shared" si="5"/>
        <v>-5.3835930834725309E-3</v>
      </c>
      <c r="M59">
        <f t="shared" si="6"/>
        <v>-2.9484050842977678E-3</v>
      </c>
      <c r="N59">
        <f t="shared" si="7"/>
        <v>-2.5056389957041083E-3</v>
      </c>
      <c r="AB59">
        <f t="shared" si="0"/>
        <v>7.7997007450801505E-4</v>
      </c>
      <c r="AC59">
        <f t="shared" si="1"/>
        <v>-3.0165602738380965E-3</v>
      </c>
      <c r="AD59">
        <f t="shared" si="8"/>
        <v>-8.2511776047758224E-5</v>
      </c>
      <c r="AE59">
        <f t="shared" si="2"/>
        <v>-8.9811426882420214E-4</v>
      </c>
      <c r="AF59">
        <f t="shared" si="3"/>
        <v>5.5173899757435621E-4</v>
      </c>
      <c r="AG59">
        <f t="shared" si="9"/>
        <v>-3.1857029780781388E-3</v>
      </c>
    </row>
    <row r="60" spans="1:33" x14ac:dyDescent="0.3">
      <c r="A60" s="17">
        <v>45378</v>
      </c>
      <c r="B60">
        <v>99.1</v>
      </c>
      <c r="C60">
        <v>98.25</v>
      </c>
      <c r="D60">
        <v>112.35</v>
      </c>
      <c r="E60">
        <v>111.25</v>
      </c>
      <c r="F60">
        <v>102.35</v>
      </c>
      <c r="G60">
        <v>101.25</v>
      </c>
      <c r="H60">
        <v>99.65</v>
      </c>
      <c r="I60">
        <v>98.75</v>
      </c>
      <c r="K60">
        <f t="shared" si="4"/>
        <v>-5.0877640375022115E-4</v>
      </c>
      <c r="L60">
        <f t="shared" si="5"/>
        <v>8.9928063614401715E-4</v>
      </c>
      <c r="M60">
        <f t="shared" si="6"/>
        <v>-3.4508291577329897E-3</v>
      </c>
      <c r="N60">
        <f t="shared" si="7"/>
        <v>0</v>
      </c>
      <c r="AB60">
        <f t="shared" si="0"/>
        <v>-1.3211863366319988E-3</v>
      </c>
      <c r="AC60">
        <f t="shared" si="1"/>
        <v>-2.2575887185708058E-3</v>
      </c>
      <c r="AD60">
        <f t="shared" si="8"/>
        <v>-5.856379932318664E-4</v>
      </c>
      <c r="AE60">
        <f t="shared" si="2"/>
        <v>-1.8132152437750257E-3</v>
      </c>
      <c r="AF60">
        <f t="shared" si="3"/>
        <v>-1.0217551649836661E-3</v>
      </c>
      <c r="AG60">
        <f t="shared" si="9"/>
        <v>-2.3208110376267809E-3</v>
      </c>
    </row>
    <row r="61" spans="1:33" x14ac:dyDescent="0.3">
      <c r="A61" s="17">
        <v>45379</v>
      </c>
      <c r="B61">
        <v>99.05</v>
      </c>
      <c r="C61">
        <v>98.15</v>
      </c>
      <c r="D61">
        <v>112.3</v>
      </c>
      <c r="E61">
        <v>111.1</v>
      </c>
      <c r="F61">
        <v>102</v>
      </c>
      <c r="G61">
        <v>101</v>
      </c>
      <c r="H61">
        <v>99.6</v>
      </c>
      <c r="I61">
        <v>98.5</v>
      </c>
      <c r="K61">
        <f t="shared" si="4"/>
        <v>-1.0183300269004433E-3</v>
      </c>
      <c r="L61">
        <f t="shared" si="5"/>
        <v>-1.3492244007653842E-3</v>
      </c>
      <c r="M61">
        <f t="shared" si="6"/>
        <v>-2.4721891453890368E-3</v>
      </c>
      <c r="N61">
        <f t="shared" si="7"/>
        <v>-5.0188206825131372E-4</v>
      </c>
      <c r="AB61">
        <f t="shared" si="0"/>
        <v>0</v>
      </c>
      <c r="AC61">
        <f t="shared" si="1"/>
        <v>0</v>
      </c>
      <c r="AD61">
        <f t="shared" si="8"/>
        <v>0</v>
      </c>
      <c r="AE61">
        <f t="shared" si="2"/>
        <v>0</v>
      </c>
      <c r="AF61">
        <f t="shared" si="3"/>
        <v>0</v>
      </c>
      <c r="AG61">
        <f t="shared" si="9"/>
        <v>0</v>
      </c>
    </row>
    <row r="62" spans="1:33" x14ac:dyDescent="0.3">
      <c r="A62" s="17">
        <v>45380</v>
      </c>
      <c r="B62">
        <v>99.05</v>
      </c>
      <c r="C62">
        <v>98.15</v>
      </c>
      <c r="D62">
        <v>112.3</v>
      </c>
      <c r="E62">
        <v>111.1</v>
      </c>
      <c r="F62">
        <v>102</v>
      </c>
      <c r="G62">
        <v>101</v>
      </c>
      <c r="H62">
        <v>99.6</v>
      </c>
      <c r="I62">
        <v>98.5</v>
      </c>
      <c r="K62">
        <f t="shared" si="4"/>
        <v>0</v>
      </c>
      <c r="L62">
        <f t="shared" si="5"/>
        <v>0</v>
      </c>
      <c r="M62">
        <f t="shared" si="6"/>
        <v>0</v>
      </c>
      <c r="N62">
        <f t="shared" si="7"/>
        <v>0</v>
      </c>
      <c r="AB62">
        <f t="shared" si="0"/>
        <v>4.6061277466966557E-3</v>
      </c>
      <c r="AC62">
        <f t="shared" si="1"/>
        <v>7.712248357611565E-3</v>
      </c>
      <c r="AD62">
        <f t="shared" si="8"/>
        <v>1.8458384429223286E-3</v>
      </c>
      <c r="AE62">
        <f t="shared" si="2"/>
        <v>6.5633921024457146E-3</v>
      </c>
      <c r="AF62">
        <f t="shared" si="3"/>
        <v>3.8050609119345447E-3</v>
      </c>
      <c r="AG62">
        <f t="shared" si="9"/>
        <v>8.3439563856533509E-3</v>
      </c>
    </row>
    <row r="63" spans="1:33" x14ac:dyDescent="0.3">
      <c r="A63" s="17">
        <v>45383</v>
      </c>
      <c r="B63">
        <v>99.15</v>
      </c>
      <c r="C63">
        <v>98.25</v>
      </c>
      <c r="D63">
        <v>112.55</v>
      </c>
      <c r="E63">
        <v>111.65</v>
      </c>
      <c r="F63">
        <v>102.75</v>
      </c>
      <c r="G63">
        <v>101.9</v>
      </c>
      <c r="H63">
        <v>99.8</v>
      </c>
      <c r="I63">
        <v>98.95</v>
      </c>
      <c r="K63">
        <f t="shared" si="4"/>
        <v>1.0183300269005506E-3</v>
      </c>
      <c r="L63">
        <f t="shared" si="5"/>
        <v>4.9382816405825767E-3</v>
      </c>
      <c r="M63">
        <f t="shared" si="6"/>
        <v>8.8714233874196864E-3</v>
      </c>
      <c r="N63">
        <f t="shared" si="7"/>
        <v>2.006018726865766E-3</v>
      </c>
      <c r="AB63">
        <f t="shared" si="0"/>
        <v>-1.6841296728259895E-3</v>
      </c>
      <c r="AC63">
        <f t="shared" si="1"/>
        <v>-1.7497795167673847E-3</v>
      </c>
      <c r="AD63">
        <f t="shared" si="8"/>
        <v>-5.024100166056368E-4</v>
      </c>
      <c r="AE63">
        <f t="shared" si="2"/>
        <v>-1.8638698478899052E-3</v>
      </c>
      <c r="AF63">
        <f t="shared" si="3"/>
        <v>-1.2936848330927725E-3</v>
      </c>
      <c r="AG63">
        <f t="shared" si="9"/>
        <v>-1.8521961640526241E-3</v>
      </c>
    </row>
    <row r="64" spans="1:33" x14ac:dyDescent="0.3">
      <c r="A64" s="17">
        <v>45384</v>
      </c>
      <c r="B64">
        <v>99.15</v>
      </c>
      <c r="C64">
        <v>98.2</v>
      </c>
      <c r="D64">
        <v>112.55</v>
      </c>
      <c r="E64">
        <v>111.45</v>
      </c>
      <c r="F64">
        <v>102.7</v>
      </c>
      <c r="G64">
        <v>101.7</v>
      </c>
      <c r="H64">
        <v>99.75</v>
      </c>
      <c r="I64">
        <v>98.75</v>
      </c>
      <c r="K64">
        <f t="shared" si="4"/>
        <v>-5.0903538895036163E-4</v>
      </c>
      <c r="L64">
        <f t="shared" si="5"/>
        <v>-1.7929184542889976E-3</v>
      </c>
      <c r="M64">
        <f t="shared" si="6"/>
        <v>-1.9646371741648544E-3</v>
      </c>
      <c r="N64">
        <f t="shared" si="7"/>
        <v>-5.0112754744537015E-4</v>
      </c>
      <c r="AB64">
        <f t="shared" si="0"/>
        <v>0</v>
      </c>
      <c r="AC64">
        <f t="shared" si="1"/>
        <v>8.377323102795553E-4</v>
      </c>
      <c r="AD64">
        <f t="shared" si="8"/>
        <v>8.3950218213932478E-4</v>
      </c>
      <c r="AE64">
        <f t="shared" si="2"/>
        <v>4.0607747964369636E-4</v>
      </c>
      <c r="AF64">
        <f t="shared" si="3"/>
        <v>3.8724078995926707E-4</v>
      </c>
      <c r="AG64">
        <f t="shared" si="9"/>
        <v>9.8427642499732734E-4</v>
      </c>
    </row>
    <row r="65" spans="1:33" x14ac:dyDescent="0.3">
      <c r="A65" s="17">
        <v>45385</v>
      </c>
      <c r="B65">
        <v>99.1</v>
      </c>
      <c r="C65">
        <v>98.2</v>
      </c>
      <c r="D65">
        <v>112.55</v>
      </c>
      <c r="E65">
        <v>111.45</v>
      </c>
      <c r="F65">
        <v>102.7</v>
      </c>
      <c r="G65">
        <v>101.8</v>
      </c>
      <c r="H65">
        <v>99.85</v>
      </c>
      <c r="I65">
        <v>98.85</v>
      </c>
      <c r="K65">
        <f t="shared" si="4"/>
        <v>0</v>
      </c>
      <c r="L65">
        <f t="shared" si="5"/>
        <v>0</v>
      </c>
      <c r="M65">
        <f t="shared" si="6"/>
        <v>9.8280106190807778E-4</v>
      </c>
      <c r="N65">
        <f t="shared" si="7"/>
        <v>1.0020040918512294E-3</v>
      </c>
      <c r="AB65">
        <f t="shared" si="0"/>
        <v>-3.6757667364340488E-4</v>
      </c>
      <c r="AC65">
        <f t="shared" si="1"/>
        <v>9.1204720648788878E-4</v>
      </c>
      <c r="AD65">
        <f t="shared" si="8"/>
        <v>5.0198963487191111E-4</v>
      </c>
      <c r="AE65">
        <f t="shared" si="2"/>
        <v>1.4235537329111133E-4</v>
      </c>
      <c r="AF65">
        <f t="shared" si="3"/>
        <v>-8.183743702786913E-5</v>
      </c>
      <c r="AG65">
        <f t="shared" si="9"/>
        <v>9.4486486627297155E-4</v>
      </c>
    </row>
    <row r="66" spans="1:33" x14ac:dyDescent="0.3">
      <c r="A66" s="17">
        <v>45386</v>
      </c>
      <c r="B66">
        <v>99.15</v>
      </c>
      <c r="C66">
        <v>98.25</v>
      </c>
      <c r="D66">
        <v>112.5</v>
      </c>
      <c r="E66">
        <v>111.4</v>
      </c>
      <c r="F66">
        <v>102.9</v>
      </c>
      <c r="G66">
        <v>101.9</v>
      </c>
      <c r="H66">
        <v>99.9</v>
      </c>
      <c r="I66">
        <v>98.9</v>
      </c>
      <c r="K66">
        <f t="shared" si="4"/>
        <v>5.0903538895028194E-4</v>
      </c>
      <c r="L66">
        <f t="shared" si="5"/>
        <v>-4.4873233869422303E-4</v>
      </c>
      <c r="M66">
        <f t="shared" si="6"/>
        <v>9.8183611225686009E-4</v>
      </c>
      <c r="N66">
        <f t="shared" si="7"/>
        <v>5.0062579268370143E-4</v>
      </c>
      <c r="AB66">
        <f t="shared" si="0"/>
        <v>4.1070937098976694E-4</v>
      </c>
      <c r="AC66">
        <f t="shared" si="1"/>
        <v>2.9227302207377403E-3</v>
      </c>
      <c r="AD66">
        <f t="shared" si="8"/>
        <v>1.2570491595601948E-3</v>
      </c>
      <c r="AE66">
        <f t="shared" si="2"/>
        <v>1.6800706248139929E-3</v>
      </c>
      <c r="AF66">
        <f t="shared" si="3"/>
        <v>8.5515690675420962E-4</v>
      </c>
      <c r="AG66">
        <f t="shared" si="9"/>
        <v>3.2806902007092168E-3</v>
      </c>
    </row>
    <row r="67" spans="1:33" x14ac:dyDescent="0.3">
      <c r="A67" s="17">
        <v>45387</v>
      </c>
      <c r="B67">
        <v>99.15</v>
      </c>
      <c r="C67">
        <v>98.25</v>
      </c>
      <c r="D67">
        <v>112.45</v>
      </c>
      <c r="E67">
        <v>111.45</v>
      </c>
      <c r="F67">
        <v>103.25</v>
      </c>
      <c r="G67">
        <v>102.25</v>
      </c>
      <c r="H67">
        <v>100.05</v>
      </c>
      <c r="I67">
        <v>99.15</v>
      </c>
      <c r="K67">
        <f t="shared" si="4"/>
        <v>0</v>
      </c>
      <c r="L67">
        <f t="shared" si="5"/>
        <v>4.4873233869415614E-4</v>
      </c>
      <c r="M67">
        <f t="shared" si="6"/>
        <v>3.428854694232012E-3</v>
      </c>
      <c r="N67">
        <f t="shared" si="7"/>
        <v>1.5003753752344921E-3</v>
      </c>
      <c r="AB67">
        <f t="shared" ref="AB67:AB130" si="10">K68*$S$108+L68*$T$108</f>
        <v>0</v>
      </c>
      <c r="AC67">
        <f t="shared" ref="AC67:AC130" si="11">K68*$S$109+M68*$T$109</f>
        <v>0</v>
      </c>
      <c r="AD67">
        <f t="shared" ref="AD67:AD130" si="12">K68*$S$110+N68*$T$110</f>
        <v>0</v>
      </c>
      <c r="AE67">
        <f t="shared" ref="AE67:AE130" si="13">L68*$S$111+M68*$T$111</f>
        <v>0</v>
      </c>
      <c r="AF67">
        <f t="shared" ref="AF67:AF130" si="14">L68*$S$112+N68*$T$112</f>
        <v>0</v>
      </c>
      <c r="AG67">
        <f t="shared" si="9"/>
        <v>0</v>
      </c>
    </row>
    <row r="68" spans="1:33" x14ac:dyDescent="0.3">
      <c r="A68" s="17">
        <v>45390</v>
      </c>
      <c r="B68">
        <v>99.15</v>
      </c>
      <c r="C68">
        <v>98.25</v>
      </c>
      <c r="D68">
        <v>112.45</v>
      </c>
      <c r="E68">
        <v>111.45</v>
      </c>
      <c r="F68">
        <v>103.25</v>
      </c>
      <c r="G68">
        <v>102.25</v>
      </c>
      <c r="H68">
        <v>100.05</v>
      </c>
      <c r="I68">
        <v>99.15</v>
      </c>
      <c r="K68">
        <f t="shared" ref="K68:K131" si="15">LN(C68/C67)</f>
        <v>0</v>
      </c>
      <c r="L68">
        <f t="shared" ref="L68:L131" si="16">LN(E68/E67)</f>
        <v>0</v>
      </c>
      <c r="M68">
        <f t="shared" ref="M68:M131" si="17">LN(G68/G67)</f>
        <v>0</v>
      </c>
      <c r="N68">
        <f t="shared" ref="N68:N131" si="18">LN(H68/H67)</f>
        <v>0</v>
      </c>
      <c r="AB68">
        <f t="shared" si="10"/>
        <v>0</v>
      </c>
      <c r="AC68">
        <f t="shared" si="11"/>
        <v>0</v>
      </c>
      <c r="AD68">
        <f t="shared" si="12"/>
        <v>0</v>
      </c>
      <c r="AE68">
        <f t="shared" si="13"/>
        <v>0</v>
      </c>
      <c r="AF68">
        <f t="shared" si="14"/>
        <v>0</v>
      </c>
      <c r="AG68">
        <f t="shared" ref="AG68:AG130" si="19">M69*$S$113+N69*$T$113</f>
        <v>0</v>
      </c>
    </row>
    <row r="69" spans="1:33" x14ac:dyDescent="0.3">
      <c r="A69" s="17">
        <v>45391</v>
      </c>
      <c r="B69">
        <v>99.15</v>
      </c>
      <c r="C69">
        <v>98.25</v>
      </c>
      <c r="D69">
        <v>112.45</v>
      </c>
      <c r="E69">
        <v>111.45</v>
      </c>
      <c r="F69">
        <v>103.25</v>
      </c>
      <c r="G69">
        <v>102.25</v>
      </c>
      <c r="H69">
        <v>100.05</v>
      </c>
      <c r="I69">
        <v>99.15</v>
      </c>
      <c r="K69">
        <f t="shared" si="15"/>
        <v>0</v>
      </c>
      <c r="L69">
        <f t="shared" si="16"/>
        <v>0</v>
      </c>
      <c r="M69">
        <f t="shared" si="17"/>
        <v>0</v>
      </c>
      <c r="N69">
        <f t="shared" si="18"/>
        <v>0</v>
      </c>
      <c r="AB69">
        <f t="shared" si="10"/>
        <v>0</v>
      </c>
      <c r="AC69">
        <f t="shared" si="11"/>
        <v>0</v>
      </c>
      <c r="AD69">
        <f t="shared" si="12"/>
        <v>0</v>
      </c>
      <c r="AE69">
        <f t="shared" si="13"/>
        <v>0</v>
      </c>
      <c r="AF69">
        <f t="shared" si="14"/>
        <v>0</v>
      </c>
      <c r="AG69">
        <f t="shared" si="19"/>
        <v>0</v>
      </c>
    </row>
    <row r="70" spans="1:33" x14ac:dyDescent="0.3">
      <c r="A70" s="17">
        <v>45392</v>
      </c>
      <c r="B70">
        <v>99.15</v>
      </c>
      <c r="C70">
        <v>98.25</v>
      </c>
      <c r="D70">
        <v>112.45</v>
      </c>
      <c r="E70">
        <v>111.45</v>
      </c>
      <c r="F70">
        <v>103.25</v>
      </c>
      <c r="G70">
        <v>102.25</v>
      </c>
      <c r="H70">
        <v>100.05</v>
      </c>
      <c r="I70">
        <v>99.15</v>
      </c>
      <c r="K70">
        <f t="shared" si="15"/>
        <v>0</v>
      </c>
      <c r="L70">
        <f t="shared" si="16"/>
        <v>0</v>
      </c>
      <c r="M70">
        <f t="shared" si="17"/>
        <v>0</v>
      </c>
      <c r="N70">
        <f t="shared" si="18"/>
        <v>0</v>
      </c>
      <c r="AB70">
        <f t="shared" si="10"/>
        <v>0</v>
      </c>
      <c r="AC70">
        <f t="shared" si="11"/>
        <v>0</v>
      </c>
      <c r="AD70">
        <f t="shared" si="12"/>
        <v>0</v>
      </c>
      <c r="AE70">
        <f t="shared" si="13"/>
        <v>0</v>
      </c>
      <c r="AF70">
        <f t="shared" si="14"/>
        <v>0</v>
      </c>
      <c r="AG70">
        <f t="shared" si="19"/>
        <v>0</v>
      </c>
    </row>
    <row r="71" spans="1:33" x14ac:dyDescent="0.3">
      <c r="A71" s="17">
        <v>45393</v>
      </c>
      <c r="B71">
        <v>99.15</v>
      </c>
      <c r="C71">
        <v>98.25</v>
      </c>
      <c r="D71">
        <v>112.45</v>
      </c>
      <c r="E71">
        <v>111.45</v>
      </c>
      <c r="F71">
        <v>103.25</v>
      </c>
      <c r="G71">
        <v>102.25</v>
      </c>
      <c r="H71">
        <v>100.05</v>
      </c>
      <c r="I71">
        <v>99.15</v>
      </c>
      <c r="K71">
        <f t="shared" si="15"/>
        <v>0</v>
      </c>
      <c r="L71">
        <f t="shared" si="16"/>
        <v>0</v>
      </c>
      <c r="M71">
        <f t="shared" si="17"/>
        <v>0</v>
      </c>
      <c r="N71">
        <f t="shared" si="18"/>
        <v>0</v>
      </c>
      <c r="AB71">
        <f t="shared" si="10"/>
        <v>0</v>
      </c>
      <c r="AC71">
        <f t="shared" si="11"/>
        <v>0</v>
      </c>
      <c r="AD71">
        <f t="shared" si="12"/>
        <v>0</v>
      </c>
      <c r="AE71">
        <f t="shared" si="13"/>
        <v>0</v>
      </c>
      <c r="AF71">
        <f t="shared" si="14"/>
        <v>0</v>
      </c>
      <c r="AG71">
        <f t="shared" si="19"/>
        <v>0</v>
      </c>
    </row>
    <row r="72" spans="1:33" x14ac:dyDescent="0.3">
      <c r="A72" s="17">
        <v>45394</v>
      </c>
      <c r="B72">
        <v>99.15</v>
      </c>
      <c r="C72">
        <v>98.25</v>
      </c>
      <c r="D72">
        <v>112.45</v>
      </c>
      <c r="E72">
        <v>111.45</v>
      </c>
      <c r="F72">
        <v>103.25</v>
      </c>
      <c r="G72">
        <v>102.25</v>
      </c>
      <c r="H72">
        <v>100.05</v>
      </c>
      <c r="I72">
        <v>99.15</v>
      </c>
      <c r="K72">
        <f t="shared" si="15"/>
        <v>0</v>
      </c>
      <c r="L72">
        <f t="shared" si="16"/>
        <v>0</v>
      </c>
      <c r="M72">
        <f t="shared" si="17"/>
        <v>0</v>
      </c>
      <c r="N72">
        <f t="shared" si="18"/>
        <v>0</v>
      </c>
      <c r="AB72">
        <f t="shared" si="10"/>
        <v>0</v>
      </c>
      <c r="AC72">
        <f t="shared" si="11"/>
        <v>0</v>
      </c>
      <c r="AD72">
        <f t="shared" si="12"/>
        <v>0</v>
      </c>
      <c r="AE72">
        <f t="shared" si="13"/>
        <v>0</v>
      </c>
      <c r="AF72">
        <f t="shared" si="14"/>
        <v>0</v>
      </c>
      <c r="AG72">
        <f t="shared" si="19"/>
        <v>0</v>
      </c>
    </row>
    <row r="73" spans="1:33" x14ac:dyDescent="0.3">
      <c r="A73" s="17">
        <v>45397</v>
      </c>
      <c r="B73">
        <v>99.15</v>
      </c>
      <c r="C73">
        <v>98.25</v>
      </c>
      <c r="D73">
        <v>112.45</v>
      </c>
      <c r="E73">
        <v>111.45</v>
      </c>
      <c r="F73">
        <v>103.25</v>
      </c>
      <c r="G73">
        <v>102.25</v>
      </c>
      <c r="H73">
        <v>100.05</v>
      </c>
      <c r="I73">
        <v>99.15</v>
      </c>
      <c r="K73">
        <f t="shared" si="15"/>
        <v>0</v>
      </c>
      <c r="L73">
        <f t="shared" si="16"/>
        <v>0</v>
      </c>
      <c r="M73">
        <f t="shared" si="17"/>
        <v>0</v>
      </c>
      <c r="N73">
        <f t="shared" si="18"/>
        <v>0</v>
      </c>
      <c r="AB73">
        <f t="shared" si="10"/>
        <v>-1.036656514916876E-2</v>
      </c>
      <c r="AC73">
        <f t="shared" si="11"/>
        <v>-1.5638621641137392E-2</v>
      </c>
      <c r="AD73">
        <f t="shared" si="12"/>
        <v>-1.0192155868413379E-2</v>
      </c>
      <c r="AE73">
        <f t="shared" si="13"/>
        <v>-1.4162948287273599E-2</v>
      </c>
      <c r="AF73">
        <f t="shared" si="14"/>
        <v>-1.1583446678535211E-2</v>
      </c>
      <c r="AG73">
        <f t="shared" si="19"/>
        <v>-1.7782852285224582E-2</v>
      </c>
    </row>
    <row r="74" spans="1:33" x14ac:dyDescent="0.3">
      <c r="A74" s="17">
        <v>45398</v>
      </c>
      <c r="B74">
        <v>99.05</v>
      </c>
      <c r="C74">
        <v>98.2</v>
      </c>
      <c r="D74">
        <v>111.1</v>
      </c>
      <c r="E74">
        <v>110.2</v>
      </c>
      <c r="F74">
        <v>101.5</v>
      </c>
      <c r="G74">
        <v>100.4</v>
      </c>
      <c r="H74">
        <v>98.85</v>
      </c>
      <c r="I74">
        <v>97.95</v>
      </c>
      <c r="K74">
        <f t="shared" si="15"/>
        <v>-5.0903538895036163E-4</v>
      </c>
      <c r="L74">
        <f t="shared" si="16"/>
        <v>-1.1279163113063716E-2</v>
      </c>
      <c r="M74">
        <f t="shared" si="17"/>
        <v>-1.8258587665282267E-2</v>
      </c>
      <c r="N74">
        <f t="shared" si="18"/>
        <v>-1.2066511413116479E-2</v>
      </c>
      <c r="AB74">
        <f t="shared" si="10"/>
        <v>-8.4601557550915973E-3</v>
      </c>
      <c r="AC74">
        <f t="shared" si="11"/>
        <v>-1.3201982316607372E-2</v>
      </c>
      <c r="AD74">
        <f t="shared" si="12"/>
        <v>-2.6748959231940629E-3</v>
      </c>
      <c r="AE74">
        <f t="shared" si="13"/>
        <v>-1.0405635630892272E-2</v>
      </c>
      <c r="AF74">
        <f t="shared" si="14"/>
        <v>-5.4224444776997107E-3</v>
      </c>
      <c r="AG74">
        <f t="shared" si="19"/>
        <v>-1.2575119933390191E-2</v>
      </c>
    </row>
    <row r="75" spans="1:33" x14ac:dyDescent="0.3">
      <c r="A75" s="17">
        <v>45399</v>
      </c>
      <c r="B75">
        <v>98.1</v>
      </c>
      <c r="C75">
        <v>97.1</v>
      </c>
      <c r="D75">
        <v>110.5</v>
      </c>
      <c r="E75">
        <v>109.3</v>
      </c>
      <c r="F75">
        <v>100.05</v>
      </c>
      <c r="G75">
        <v>99.05</v>
      </c>
      <c r="H75">
        <v>98.75</v>
      </c>
      <c r="I75">
        <v>97.75</v>
      </c>
      <c r="K75">
        <f t="shared" si="15"/>
        <v>-1.12648400631411E-2</v>
      </c>
      <c r="L75">
        <f t="shared" si="16"/>
        <v>-8.2005015363213352E-3</v>
      </c>
      <c r="M75">
        <f t="shared" si="17"/>
        <v>-1.3537434113068986E-2</v>
      </c>
      <c r="N75">
        <f t="shared" si="18"/>
        <v>-1.012145835394629E-3</v>
      </c>
      <c r="AB75">
        <f t="shared" si="10"/>
        <v>-1.3005893709531612E-3</v>
      </c>
      <c r="AC75">
        <f t="shared" si="11"/>
        <v>1.0188733431224135E-2</v>
      </c>
      <c r="AD75">
        <f t="shared" si="12"/>
        <v>-8.3531751691417103E-5</v>
      </c>
      <c r="AE75">
        <f t="shared" si="13"/>
        <v>4.1697985917205933E-3</v>
      </c>
      <c r="AF75">
        <f t="shared" si="14"/>
        <v>-8.4257333996103328E-4</v>
      </c>
      <c r="AG75">
        <f t="shared" si="19"/>
        <v>1.111708724298884E-2</v>
      </c>
    </row>
    <row r="76" spans="1:33" x14ac:dyDescent="0.3">
      <c r="A76" s="17">
        <v>45400</v>
      </c>
      <c r="B76">
        <v>98.05</v>
      </c>
      <c r="C76">
        <v>97.05</v>
      </c>
      <c r="D76">
        <v>110.35</v>
      </c>
      <c r="E76">
        <v>109.15</v>
      </c>
      <c r="F76">
        <v>101.35</v>
      </c>
      <c r="G76">
        <v>100.25</v>
      </c>
      <c r="H76">
        <v>98.75</v>
      </c>
      <c r="I76">
        <v>97.75</v>
      </c>
      <c r="K76">
        <f t="shared" si="15"/>
        <v>-5.1506568225991186E-4</v>
      </c>
      <c r="L76">
        <f t="shared" si="16"/>
        <v>-1.3733121865398556E-3</v>
      </c>
      <c r="M76">
        <f t="shared" si="17"/>
        <v>1.2042293042118747E-2</v>
      </c>
      <c r="N76">
        <f t="shared" si="18"/>
        <v>0</v>
      </c>
      <c r="AB76">
        <f t="shared" si="10"/>
        <v>-1.7841592386409009E-3</v>
      </c>
      <c r="AC76">
        <f t="shared" si="11"/>
        <v>-7.7448189953788086E-3</v>
      </c>
      <c r="AD76">
        <f t="shared" si="12"/>
        <v>-1.0057513928250245E-3</v>
      </c>
      <c r="AE76">
        <f t="shared" si="13"/>
        <v>-4.117443866343033E-3</v>
      </c>
      <c r="AF76">
        <f t="shared" si="14"/>
        <v>-8.4373204764670985E-4</v>
      </c>
      <c r="AG76">
        <f t="shared" si="19"/>
        <v>-7.3964966275128071E-3</v>
      </c>
    </row>
    <row r="77" spans="1:33" x14ac:dyDescent="0.3">
      <c r="A77" s="17">
        <v>45401</v>
      </c>
      <c r="B77">
        <v>97.65</v>
      </c>
      <c r="C77">
        <v>96.45</v>
      </c>
      <c r="D77">
        <v>110.3</v>
      </c>
      <c r="E77">
        <v>109</v>
      </c>
      <c r="F77">
        <v>100.65</v>
      </c>
      <c r="G77">
        <v>99.45</v>
      </c>
      <c r="H77">
        <v>98.75</v>
      </c>
      <c r="I77">
        <v>97.65</v>
      </c>
      <c r="K77">
        <f t="shared" si="15"/>
        <v>-6.2015702632811573E-3</v>
      </c>
      <c r="L77">
        <f t="shared" si="16"/>
        <v>-1.3752007668092607E-3</v>
      </c>
      <c r="M77">
        <f t="shared" si="17"/>
        <v>-8.0120608866972864E-3</v>
      </c>
      <c r="N77">
        <f t="shared" si="18"/>
        <v>0</v>
      </c>
      <c r="AB77">
        <f t="shared" si="10"/>
        <v>-9.2396352123079433E-3</v>
      </c>
      <c r="AC77">
        <f t="shared" si="11"/>
        <v>1.3611917224671749E-3</v>
      </c>
      <c r="AD77">
        <f t="shared" si="12"/>
        <v>9.3205042393724514E-4</v>
      </c>
      <c r="AE77">
        <f t="shared" si="13"/>
        <v>-5.3293487348131559E-3</v>
      </c>
      <c r="AF77">
        <f t="shared" si="14"/>
        <v>-5.8319184441569197E-3</v>
      </c>
      <c r="AG77">
        <f t="shared" si="19"/>
        <v>1.4691275537771068E-3</v>
      </c>
    </row>
    <row r="78" spans="1:33" x14ac:dyDescent="0.3">
      <c r="A78" s="17">
        <v>45404</v>
      </c>
      <c r="B78">
        <v>97.4</v>
      </c>
      <c r="C78">
        <v>96.5</v>
      </c>
      <c r="D78">
        <v>108.9</v>
      </c>
      <c r="E78">
        <v>107.9</v>
      </c>
      <c r="F78">
        <v>100.7</v>
      </c>
      <c r="G78">
        <v>99.6</v>
      </c>
      <c r="H78">
        <v>98.85</v>
      </c>
      <c r="I78">
        <v>97.35</v>
      </c>
      <c r="K78">
        <f t="shared" si="15"/>
        <v>5.1826899320211431E-4</v>
      </c>
      <c r="L78">
        <f t="shared" si="16"/>
        <v>-1.0143009965054642E-2</v>
      </c>
      <c r="M78">
        <f t="shared" si="17"/>
        <v>1.5071592905713386E-3</v>
      </c>
      <c r="N78">
        <f t="shared" si="18"/>
        <v>1.0121458353945839E-3</v>
      </c>
      <c r="AB78">
        <f t="shared" si="10"/>
        <v>2.8322697894617504E-3</v>
      </c>
      <c r="AC78">
        <f t="shared" si="11"/>
        <v>1.9818041092006152E-4</v>
      </c>
      <c r="AD78">
        <f t="shared" si="12"/>
        <v>-1.5246053938239236E-3</v>
      </c>
      <c r="AE78">
        <f t="shared" si="13"/>
        <v>2.1077706396279046E-3</v>
      </c>
      <c r="AF78">
        <f t="shared" si="14"/>
        <v>1.4000367486257143E-3</v>
      </c>
      <c r="AG78">
        <f t="shared" si="19"/>
        <v>3.4664878671582347E-4</v>
      </c>
    </row>
    <row r="79" spans="1:33" x14ac:dyDescent="0.3">
      <c r="A79" s="17">
        <v>45405</v>
      </c>
      <c r="B79">
        <v>97.35</v>
      </c>
      <c r="C79">
        <v>96.35</v>
      </c>
      <c r="D79">
        <v>109.45</v>
      </c>
      <c r="E79">
        <v>108.25</v>
      </c>
      <c r="F79">
        <v>100.85</v>
      </c>
      <c r="G79">
        <v>99.65</v>
      </c>
      <c r="H79">
        <v>98.7</v>
      </c>
      <c r="I79">
        <v>97.4</v>
      </c>
      <c r="K79">
        <f t="shared" si="15"/>
        <v>-1.5556134845649174E-3</v>
      </c>
      <c r="L79">
        <f t="shared" si="16"/>
        <v>3.2384946185102757E-3</v>
      </c>
      <c r="M79">
        <f t="shared" si="17"/>
        <v>5.0188206825118188E-4</v>
      </c>
      <c r="N79">
        <f t="shared" si="18"/>
        <v>-1.518603177189905E-3</v>
      </c>
      <c r="AB79">
        <f t="shared" si="10"/>
        <v>2.1992393069671335E-3</v>
      </c>
      <c r="AC79">
        <f t="shared" si="11"/>
        <v>1.1623314796128709E-2</v>
      </c>
      <c r="AD79">
        <f t="shared" si="12"/>
        <v>3.5568045890505711E-3</v>
      </c>
      <c r="AE79">
        <f t="shared" si="13"/>
        <v>6.9136666985068224E-3</v>
      </c>
      <c r="AF79">
        <f t="shared" si="14"/>
        <v>2.9783642168311449E-3</v>
      </c>
      <c r="AG79">
        <f t="shared" si="19"/>
        <v>1.2733350915604078E-2</v>
      </c>
    </row>
    <row r="80" spans="1:33" x14ac:dyDescent="0.3">
      <c r="A80" s="17">
        <v>45406</v>
      </c>
      <c r="B80">
        <v>97.45</v>
      </c>
      <c r="C80">
        <v>96.45</v>
      </c>
      <c r="D80">
        <v>109.8</v>
      </c>
      <c r="E80">
        <v>108.5</v>
      </c>
      <c r="F80">
        <v>102.1</v>
      </c>
      <c r="G80">
        <v>101</v>
      </c>
      <c r="H80">
        <v>99.1</v>
      </c>
      <c r="I80">
        <v>97.6</v>
      </c>
      <c r="K80">
        <f t="shared" si="15"/>
        <v>1.0373444913627219E-3</v>
      </c>
      <c r="L80">
        <f t="shared" si="16"/>
        <v>2.3068060979150921E-3</v>
      </c>
      <c r="M80">
        <f t="shared" si="17"/>
        <v>1.3456470182455568E-2</v>
      </c>
      <c r="N80">
        <f t="shared" si="18"/>
        <v>4.0444948965062226E-3</v>
      </c>
      <c r="AB80">
        <f t="shared" si="10"/>
        <v>-2.2872291197621299E-3</v>
      </c>
      <c r="AC80">
        <f t="shared" si="11"/>
        <v>-8.7879864983716159E-3</v>
      </c>
      <c r="AD80">
        <f t="shared" si="12"/>
        <v>-2.4528917588180739E-3</v>
      </c>
      <c r="AE80">
        <f t="shared" si="13"/>
        <v>-5.4649867191094428E-3</v>
      </c>
      <c r="AF80">
        <f t="shared" si="14"/>
        <v>-2.3914753021529551E-3</v>
      </c>
      <c r="AG80">
        <f t="shared" si="19"/>
        <v>-9.379913398792801E-3</v>
      </c>
    </row>
    <row r="81" spans="1:33" x14ac:dyDescent="0.3">
      <c r="A81" s="17">
        <v>45407</v>
      </c>
      <c r="B81">
        <v>97.35</v>
      </c>
      <c r="C81">
        <v>96.25</v>
      </c>
      <c r="D81">
        <v>109.45</v>
      </c>
      <c r="E81">
        <v>108.25</v>
      </c>
      <c r="F81">
        <v>101.1</v>
      </c>
      <c r="G81">
        <v>100</v>
      </c>
      <c r="H81">
        <v>98.85</v>
      </c>
      <c r="I81">
        <v>97.35</v>
      </c>
      <c r="K81">
        <f t="shared" si="15"/>
        <v>-2.0757661838445309E-3</v>
      </c>
      <c r="L81">
        <f t="shared" si="16"/>
        <v>-2.3068060979150595E-3</v>
      </c>
      <c r="M81">
        <f t="shared" si="17"/>
        <v>-9.950330853168092E-3</v>
      </c>
      <c r="N81">
        <f t="shared" si="18"/>
        <v>-2.5258917193163657E-3</v>
      </c>
      <c r="AB81">
        <f t="shared" si="10"/>
        <v>0</v>
      </c>
      <c r="AC81">
        <f t="shared" si="11"/>
        <v>0</v>
      </c>
      <c r="AD81">
        <f t="shared" si="12"/>
        <v>-3.397158664208191E-3</v>
      </c>
      <c r="AE81">
        <f t="shared" si="13"/>
        <v>0</v>
      </c>
      <c r="AF81">
        <f t="shared" si="14"/>
        <v>-1.5670220193979476E-3</v>
      </c>
      <c r="AG81">
        <f t="shared" si="19"/>
        <v>-3.1152481852127488E-4</v>
      </c>
    </row>
    <row r="82" spans="1:33" x14ac:dyDescent="0.3">
      <c r="A82" s="17">
        <v>45408</v>
      </c>
      <c r="B82">
        <v>97.25</v>
      </c>
      <c r="C82">
        <v>96.25</v>
      </c>
      <c r="D82">
        <v>109.45</v>
      </c>
      <c r="E82">
        <v>108.25</v>
      </c>
      <c r="F82">
        <v>101.1</v>
      </c>
      <c r="G82">
        <v>100</v>
      </c>
      <c r="H82">
        <v>98.45</v>
      </c>
      <c r="I82">
        <v>96.95</v>
      </c>
      <c r="K82">
        <f t="shared" si="15"/>
        <v>0</v>
      </c>
      <c r="L82">
        <f t="shared" si="16"/>
        <v>0</v>
      </c>
      <c r="M82">
        <f t="shared" si="17"/>
        <v>0</v>
      </c>
      <c r="N82">
        <f t="shared" si="18"/>
        <v>-4.0547445314913283E-3</v>
      </c>
      <c r="AB82">
        <f t="shared" si="10"/>
        <v>-6.2464831024623786E-3</v>
      </c>
      <c r="AC82">
        <f t="shared" si="11"/>
        <v>-6.0963694528604331E-3</v>
      </c>
      <c r="AD82">
        <f t="shared" si="12"/>
        <v>-3.5746644877539912E-3</v>
      </c>
      <c r="AE82">
        <f t="shared" si="13"/>
        <v>-6.5014378683074282E-3</v>
      </c>
      <c r="AF82">
        <f t="shared" si="14"/>
        <v>-5.3566827664295758E-3</v>
      </c>
      <c r="AG82">
        <f t="shared" si="19"/>
        <v>-6.293818088663348E-3</v>
      </c>
    </row>
    <row r="83" spans="1:33" x14ac:dyDescent="0.3">
      <c r="A83" s="17">
        <v>45411</v>
      </c>
      <c r="B83">
        <v>96.9</v>
      </c>
      <c r="C83">
        <v>95.9</v>
      </c>
      <c r="D83">
        <v>109.05</v>
      </c>
      <c r="E83">
        <v>107.55</v>
      </c>
      <c r="F83">
        <v>100.45</v>
      </c>
      <c r="G83">
        <v>99.35</v>
      </c>
      <c r="H83">
        <v>98.1</v>
      </c>
      <c r="I83">
        <v>96.3</v>
      </c>
      <c r="K83">
        <f t="shared" si="15"/>
        <v>-3.6429912785009805E-3</v>
      </c>
      <c r="L83">
        <f t="shared" si="16"/>
        <v>-6.4875111688601919E-3</v>
      </c>
      <c r="M83">
        <f t="shared" si="17"/>
        <v>-6.5212169902655751E-3</v>
      </c>
      <c r="N83">
        <f t="shared" si="18"/>
        <v>-3.5614385138171794E-3</v>
      </c>
      <c r="AB83">
        <f t="shared" si="10"/>
        <v>1.7887586743294433E-3</v>
      </c>
      <c r="AC83">
        <f t="shared" si="11"/>
        <v>-7.0456354837045339E-4</v>
      </c>
      <c r="AD83">
        <f t="shared" si="12"/>
        <v>-1.0575201716325323E-2</v>
      </c>
      <c r="AE83">
        <f t="shared" si="13"/>
        <v>6.7413361542860298E-4</v>
      </c>
      <c r="AF83">
        <f t="shared" si="14"/>
        <v>-3.8161666203571131E-3</v>
      </c>
      <c r="AG83">
        <f t="shared" si="19"/>
        <v>-1.91494044566057E-3</v>
      </c>
    </row>
    <row r="84" spans="1:33" x14ac:dyDescent="0.3">
      <c r="A84" s="17">
        <v>45412</v>
      </c>
      <c r="B84">
        <v>97</v>
      </c>
      <c r="C84">
        <v>96</v>
      </c>
      <c r="D84">
        <v>108.95</v>
      </c>
      <c r="E84">
        <v>107.75</v>
      </c>
      <c r="F84">
        <v>100.55</v>
      </c>
      <c r="G84">
        <v>99.25</v>
      </c>
      <c r="H84">
        <v>96.85</v>
      </c>
      <c r="I84">
        <v>95.05</v>
      </c>
      <c r="K84">
        <f t="shared" si="15"/>
        <v>1.04220957844359E-3</v>
      </c>
      <c r="L84">
        <f t="shared" si="16"/>
        <v>1.8578732701181914E-3</v>
      </c>
      <c r="M84">
        <f t="shared" si="17"/>
        <v>-1.007049430526058E-3</v>
      </c>
      <c r="N84">
        <f t="shared" si="18"/>
        <v>-1.2823976718312501E-2</v>
      </c>
      <c r="AB84">
        <f t="shared" si="10"/>
        <v>0</v>
      </c>
      <c r="AC84">
        <f t="shared" si="11"/>
        <v>0</v>
      </c>
      <c r="AD84">
        <f t="shared" si="12"/>
        <v>0</v>
      </c>
      <c r="AE84">
        <f t="shared" si="13"/>
        <v>0</v>
      </c>
      <c r="AF84">
        <f t="shared" si="14"/>
        <v>0</v>
      </c>
      <c r="AG84">
        <f t="shared" si="19"/>
        <v>0</v>
      </c>
    </row>
    <row r="85" spans="1:33" x14ac:dyDescent="0.3">
      <c r="A85" s="17">
        <v>45413</v>
      </c>
      <c r="B85">
        <v>97</v>
      </c>
      <c r="C85">
        <v>96</v>
      </c>
      <c r="D85">
        <v>108.95</v>
      </c>
      <c r="E85">
        <v>107.75</v>
      </c>
      <c r="F85">
        <v>100.55</v>
      </c>
      <c r="G85">
        <v>99.25</v>
      </c>
      <c r="H85">
        <v>96.85</v>
      </c>
      <c r="I85">
        <v>95.05</v>
      </c>
      <c r="K85">
        <f t="shared" si="15"/>
        <v>0</v>
      </c>
      <c r="L85">
        <f t="shared" si="16"/>
        <v>0</v>
      </c>
      <c r="M85">
        <f t="shared" si="17"/>
        <v>0</v>
      </c>
      <c r="N85">
        <f t="shared" si="18"/>
        <v>0</v>
      </c>
      <c r="AB85">
        <f t="shared" si="10"/>
        <v>-2.4846997357324174E-4</v>
      </c>
      <c r="AC85">
        <f t="shared" si="11"/>
        <v>6.7242338865402635E-3</v>
      </c>
      <c r="AD85">
        <f t="shared" si="12"/>
        <v>1.9156183019387832E-2</v>
      </c>
      <c r="AE85">
        <f t="shared" si="13"/>
        <v>2.8381900449645971E-3</v>
      </c>
      <c r="AF85">
        <f t="shared" si="14"/>
        <v>8.3957986547010498E-3</v>
      </c>
      <c r="AG85">
        <f t="shared" si="19"/>
        <v>8.6755733564052549E-3</v>
      </c>
    </row>
    <row r="86" spans="1:33" x14ac:dyDescent="0.3">
      <c r="A86" s="17">
        <v>45414</v>
      </c>
      <c r="B86">
        <v>97.2</v>
      </c>
      <c r="C86">
        <v>96.2</v>
      </c>
      <c r="D86">
        <v>109.2</v>
      </c>
      <c r="E86">
        <v>107.7</v>
      </c>
      <c r="F86">
        <v>101.1</v>
      </c>
      <c r="G86">
        <v>100</v>
      </c>
      <c r="H86">
        <v>99.05</v>
      </c>
      <c r="I86">
        <v>97.25</v>
      </c>
      <c r="K86">
        <f t="shared" si="15"/>
        <v>2.0811662038246709E-3</v>
      </c>
      <c r="L86">
        <f t="shared" si="16"/>
        <v>-4.6414482151428015E-4</v>
      </c>
      <c r="M86">
        <f t="shared" si="17"/>
        <v>7.5282664207915878E-3</v>
      </c>
      <c r="N86">
        <f t="shared" si="18"/>
        <v>2.2461383291555087E-2</v>
      </c>
      <c r="AB86">
        <f t="shared" si="10"/>
        <v>1.0449278260682668E-2</v>
      </c>
      <c r="AC86">
        <f t="shared" si="11"/>
        <v>1.8250940464370466E-2</v>
      </c>
      <c r="AD86">
        <f t="shared" si="12"/>
        <v>5.6488128098952988E-3</v>
      </c>
      <c r="AE86">
        <f t="shared" si="13"/>
        <v>1.5089193620117751E-2</v>
      </c>
      <c r="AF86">
        <f t="shared" si="14"/>
        <v>9.132202705450369E-3</v>
      </c>
      <c r="AG86">
        <f t="shared" si="19"/>
        <v>1.9649818458435345E-2</v>
      </c>
    </row>
    <row r="87" spans="1:33" x14ac:dyDescent="0.3">
      <c r="A87" s="17">
        <v>45415</v>
      </c>
      <c r="B87">
        <v>97.65</v>
      </c>
      <c r="C87">
        <v>96.55</v>
      </c>
      <c r="D87">
        <v>110.1</v>
      </c>
      <c r="E87">
        <v>108.9</v>
      </c>
      <c r="F87">
        <v>103.3</v>
      </c>
      <c r="G87">
        <v>102.1</v>
      </c>
      <c r="H87">
        <v>99.65</v>
      </c>
      <c r="I87">
        <v>98.15</v>
      </c>
      <c r="K87">
        <f t="shared" si="15"/>
        <v>3.6316512028625458E-3</v>
      </c>
      <c r="L87">
        <f t="shared" si="16"/>
        <v>1.1080445776571959E-2</v>
      </c>
      <c r="M87">
        <f t="shared" si="17"/>
        <v>2.0782539182528412E-2</v>
      </c>
      <c r="N87">
        <f t="shared" si="18"/>
        <v>6.0392735142439577E-3</v>
      </c>
      <c r="AB87">
        <f t="shared" si="10"/>
        <v>2.3616307965182918E-3</v>
      </c>
      <c r="AC87">
        <f t="shared" si="11"/>
        <v>1.7093062532934878E-3</v>
      </c>
      <c r="AD87">
        <f t="shared" si="12"/>
        <v>3.4406590547041726E-3</v>
      </c>
      <c r="AE87">
        <f t="shared" si="13"/>
        <v>1.9521833183655983E-3</v>
      </c>
      <c r="AF87">
        <f t="shared" si="14"/>
        <v>2.7618699911952918E-3</v>
      </c>
      <c r="AG87">
        <f t="shared" si="19"/>
        <v>1.6246540327994226E-3</v>
      </c>
    </row>
    <row r="88" spans="1:33" x14ac:dyDescent="0.3">
      <c r="A88" s="17">
        <v>45418</v>
      </c>
      <c r="B88">
        <v>97.85</v>
      </c>
      <c r="C88">
        <v>96.85</v>
      </c>
      <c r="D88">
        <v>110.35</v>
      </c>
      <c r="E88">
        <v>109.15</v>
      </c>
      <c r="F88">
        <v>103.45</v>
      </c>
      <c r="G88">
        <v>102.25</v>
      </c>
      <c r="H88">
        <v>100</v>
      </c>
      <c r="I88">
        <v>98.2</v>
      </c>
      <c r="K88">
        <f t="shared" si="15"/>
        <v>3.1023809784813516E-3</v>
      </c>
      <c r="L88">
        <f t="shared" si="16"/>
        <v>2.2930530570381192E-3</v>
      </c>
      <c r="M88">
        <f t="shared" si="17"/>
        <v>1.468069752291382E-3</v>
      </c>
      <c r="N88">
        <f t="shared" si="18"/>
        <v>3.5061393292876095E-3</v>
      </c>
      <c r="AB88">
        <f t="shared" si="10"/>
        <v>1.12560878754864E-3</v>
      </c>
      <c r="AC88">
        <f t="shared" si="11"/>
        <v>-4.4071929304558971E-3</v>
      </c>
      <c r="AD88">
        <f t="shared" si="12"/>
        <v>-1.9286962377799189E-3</v>
      </c>
      <c r="AE88">
        <f t="shared" si="13"/>
        <v>-1.2195330156683669E-3</v>
      </c>
      <c r="AF88">
        <f t="shared" si="14"/>
        <v>6.8866823194564273E-5</v>
      </c>
      <c r="AG88">
        <f t="shared" si="19"/>
        <v>-4.679166925166559E-3</v>
      </c>
    </row>
    <row r="89" spans="1:33" x14ac:dyDescent="0.3">
      <c r="A89" s="17">
        <v>45419</v>
      </c>
      <c r="B89">
        <v>97.7</v>
      </c>
      <c r="C89">
        <v>96.7</v>
      </c>
      <c r="D89">
        <v>110.4</v>
      </c>
      <c r="E89">
        <v>109.3</v>
      </c>
      <c r="F89">
        <v>103.05</v>
      </c>
      <c r="G89">
        <v>101.75</v>
      </c>
      <c r="H89">
        <v>99.8</v>
      </c>
      <c r="I89">
        <v>98.8</v>
      </c>
      <c r="K89">
        <f t="shared" si="15"/>
        <v>-1.5499873937561029E-3</v>
      </c>
      <c r="L89">
        <f t="shared" si="16"/>
        <v>1.3733121865399235E-3</v>
      </c>
      <c r="M89">
        <f t="shared" si="17"/>
        <v>-4.9019706002067795E-3</v>
      </c>
      <c r="N89">
        <f t="shared" si="18"/>
        <v>-2.0020026706730793E-3</v>
      </c>
      <c r="AB89">
        <f t="shared" si="10"/>
        <v>-1.125608787548566E-3</v>
      </c>
      <c r="AC89">
        <f t="shared" si="11"/>
        <v>-4.812482133331652E-3</v>
      </c>
      <c r="AD89">
        <f t="shared" si="12"/>
        <v>-1.6848410048290904E-4</v>
      </c>
      <c r="AE89">
        <f t="shared" si="13"/>
        <v>-3.2495585629855593E-3</v>
      </c>
      <c r="AF89">
        <f t="shared" si="14"/>
        <v>-1.0362422370456446E-3</v>
      </c>
      <c r="AG89">
        <f t="shared" si="19"/>
        <v>-5.4983712952834047E-3</v>
      </c>
    </row>
    <row r="90" spans="1:33" x14ac:dyDescent="0.3">
      <c r="A90" s="17">
        <v>45420</v>
      </c>
      <c r="B90">
        <v>97.75</v>
      </c>
      <c r="C90">
        <v>96.85</v>
      </c>
      <c r="D90">
        <v>110.35</v>
      </c>
      <c r="E90">
        <v>109.15</v>
      </c>
      <c r="F90">
        <v>102.15</v>
      </c>
      <c r="G90">
        <v>101.15</v>
      </c>
      <c r="H90">
        <v>99.75</v>
      </c>
      <c r="I90">
        <v>98.65</v>
      </c>
      <c r="K90">
        <f t="shared" si="15"/>
        <v>1.549987393756244E-3</v>
      </c>
      <c r="L90">
        <f t="shared" si="16"/>
        <v>-1.3733121865398556E-3</v>
      </c>
      <c r="M90">
        <f t="shared" si="17"/>
        <v>-5.9142607089498573E-3</v>
      </c>
      <c r="N90">
        <f t="shared" si="18"/>
        <v>-5.0112754744537015E-4</v>
      </c>
      <c r="AB90">
        <f t="shared" si="10"/>
        <v>0</v>
      </c>
      <c r="AC90">
        <f t="shared" si="11"/>
        <v>0</v>
      </c>
      <c r="AD90">
        <f t="shared" si="12"/>
        <v>0</v>
      </c>
      <c r="AE90">
        <f t="shared" si="13"/>
        <v>0</v>
      </c>
      <c r="AF90">
        <f t="shared" si="14"/>
        <v>0</v>
      </c>
      <c r="AG90">
        <f t="shared" si="19"/>
        <v>0</v>
      </c>
    </row>
    <row r="91" spans="1:33" x14ac:dyDescent="0.3">
      <c r="A91" s="17">
        <v>45421</v>
      </c>
      <c r="B91">
        <v>97.75</v>
      </c>
      <c r="C91">
        <v>96.85</v>
      </c>
      <c r="D91">
        <v>110.35</v>
      </c>
      <c r="E91">
        <v>109.15</v>
      </c>
      <c r="F91">
        <v>102.15</v>
      </c>
      <c r="G91">
        <v>101.15</v>
      </c>
      <c r="H91">
        <v>99.75</v>
      </c>
      <c r="I91">
        <v>98.65</v>
      </c>
      <c r="K91">
        <f t="shared" si="15"/>
        <v>0</v>
      </c>
      <c r="L91">
        <f t="shared" si="16"/>
        <v>0</v>
      </c>
      <c r="M91">
        <f t="shared" si="17"/>
        <v>0</v>
      </c>
      <c r="N91">
        <f t="shared" si="18"/>
        <v>0</v>
      </c>
      <c r="AB91">
        <f t="shared" si="10"/>
        <v>0</v>
      </c>
      <c r="AC91">
        <f t="shared" si="11"/>
        <v>0</v>
      </c>
      <c r="AD91">
        <f t="shared" si="12"/>
        <v>0</v>
      </c>
      <c r="AE91">
        <f t="shared" si="13"/>
        <v>0</v>
      </c>
      <c r="AF91">
        <f t="shared" si="14"/>
        <v>0</v>
      </c>
      <c r="AG91">
        <f t="shared" si="19"/>
        <v>0</v>
      </c>
    </row>
    <row r="92" spans="1:33" x14ac:dyDescent="0.3">
      <c r="A92" s="17">
        <v>45422</v>
      </c>
      <c r="B92">
        <v>97.75</v>
      </c>
      <c r="C92">
        <v>96.85</v>
      </c>
      <c r="D92">
        <v>110.35</v>
      </c>
      <c r="E92">
        <v>109.15</v>
      </c>
      <c r="F92">
        <v>102.15</v>
      </c>
      <c r="G92">
        <v>101.15</v>
      </c>
      <c r="H92">
        <v>99.75</v>
      </c>
      <c r="I92">
        <v>98.65</v>
      </c>
      <c r="K92">
        <f t="shared" si="15"/>
        <v>0</v>
      </c>
      <c r="L92">
        <f t="shared" si="16"/>
        <v>0</v>
      </c>
      <c r="M92">
        <f t="shared" si="17"/>
        <v>0</v>
      </c>
      <c r="N92">
        <f t="shared" si="18"/>
        <v>0</v>
      </c>
      <c r="AB92">
        <f t="shared" si="10"/>
        <v>2.4684112351740328E-3</v>
      </c>
      <c r="AC92">
        <f t="shared" si="11"/>
        <v>-3.0307937101974459E-3</v>
      </c>
      <c r="AD92">
        <f t="shared" si="12"/>
        <v>-9.2409163937651228E-4</v>
      </c>
      <c r="AE92">
        <f t="shared" si="13"/>
        <v>1.7847747023864578E-4</v>
      </c>
      <c r="AF92">
        <f t="shared" si="14"/>
        <v>1.2963619543753463E-3</v>
      </c>
      <c r="AG92">
        <f t="shared" si="19"/>
        <v>-3.2769611389752836E-3</v>
      </c>
    </row>
    <row r="93" spans="1:33" x14ac:dyDescent="0.3">
      <c r="A93" s="17">
        <v>45425</v>
      </c>
      <c r="B93">
        <v>97.8</v>
      </c>
      <c r="C93">
        <v>96.8</v>
      </c>
      <c r="D93">
        <v>110.55</v>
      </c>
      <c r="E93">
        <v>109.45</v>
      </c>
      <c r="F93">
        <v>101.9</v>
      </c>
      <c r="G93">
        <v>100.8</v>
      </c>
      <c r="H93">
        <v>99.65</v>
      </c>
      <c r="I93">
        <v>98.65</v>
      </c>
      <c r="K93">
        <f t="shared" si="15"/>
        <v>-5.16395570473542E-4</v>
      </c>
      <c r="L93">
        <f t="shared" si="16"/>
        <v>2.7447409729189414E-3</v>
      </c>
      <c r="M93">
        <f t="shared" si="17"/>
        <v>-3.466207976486284E-3</v>
      </c>
      <c r="N93">
        <f t="shared" si="18"/>
        <v>-1.0030091111690679E-3</v>
      </c>
      <c r="AB93">
        <f t="shared" si="10"/>
        <v>-3.8146208096536435E-3</v>
      </c>
      <c r="AC93">
        <f t="shared" si="11"/>
        <v>-3.0411098776707852E-3</v>
      </c>
      <c r="AD93">
        <f t="shared" si="12"/>
        <v>-5.042790920846878E-4</v>
      </c>
      <c r="AE93">
        <f t="shared" si="13"/>
        <v>-3.8548110468804532E-3</v>
      </c>
      <c r="AF93">
        <f t="shared" si="14"/>
        <v>-2.7216836919851987E-3</v>
      </c>
      <c r="AG93">
        <f t="shared" si="19"/>
        <v>-3.2495898072684199E-3</v>
      </c>
    </row>
    <row r="94" spans="1:33" x14ac:dyDescent="0.3">
      <c r="A94" s="17">
        <v>45426</v>
      </c>
      <c r="B94">
        <v>97.75</v>
      </c>
      <c r="C94">
        <v>96.75</v>
      </c>
      <c r="D94">
        <v>110.5</v>
      </c>
      <c r="E94">
        <v>109</v>
      </c>
      <c r="F94">
        <v>101.55</v>
      </c>
      <c r="G94">
        <v>100.45</v>
      </c>
      <c r="H94">
        <v>99.6</v>
      </c>
      <c r="I94">
        <v>98.4</v>
      </c>
      <c r="K94">
        <f t="shared" si="15"/>
        <v>-5.1666237264012935E-4</v>
      </c>
      <c r="L94">
        <f t="shared" si="16"/>
        <v>-4.119941739728324E-3</v>
      </c>
      <c r="M94">
        <f t="shared" si="17"/>
        <v>-3.4782643763248086E-3</v>
      </c>
      <c r="N94">
        <f t="shared" si="18"/>
        <v>-5.0188206825131372E-4</v>
      </c>
      <c r="AB94">
        <f t="shared" si="10"/>
        <v>5.1118799657158109E-3</v>
      </c>
      <c r="AC94">
        <f t="shared" si="11"/>
        <v>2.6944150397351162E-3</v>
      </c>
      <c r="AD94">
        <f t="shared" si="12"/>
        <v>1.6753812680431255E-4</v>
      </c>
      <c r="AE94">
        <f t="shared" si="13"/>
        <v>4.4534823591966767E-3</v>
      </c>
      <c r="AF94">
        <f t="shared" si="14"/>
        <v>3.3679886440999155E-3</v>
      </c>
      <c r="AG94">
        <f t="shared" si="19"/>
        <v>2.7529949732780085E-3</v>
      </c>
    </row>
    <row r="95" spans="1:33" x14ac:dyDescent="0.3">
      <c r="A95" s="17">
        <v>45427</v>
      </c>
      <c r="B95">
        <v>97.75</v>
      </c>
      <c r="C95">
        <v>96.85</v>
      </c>
      <c r="D95">
        <v>110.7</v>
      </c>
      <c r="E95">
        <v>109.6</v>
      </c>
      <c r="F95">
        <v>101.85</v>
      </c>
      <c r="G95">
        <v>100.75</v>
      </c>
      <c r="H95">
        <v>99.6</v>
      </c>
      <c r="I95">
        <v>98.3</v>
      </c>
      <c r="K95">
        <f t="shared" si="15"/>
        <v>1.0330579431135946E-3</v>
      </c>
      <c r="L95">
        <f t="shared" si="16"/>
        <v>5.4894922847715149E-3</v>
      </c>
      <c r="M95">
        <f t="shared" si="17"/>
        <v>2.9821095658488866E-3</v>
      </c>
      <c r="N95">
        <f t="shared" si="18"/>
        <v>0</v>
      </c>
      <c r="AB95">
        <f t="shared" si="10"/>
        <v>-1.9920005913344206E-4</v>
      </c>
      <c r="AC95">
        <f t="shared" si="11"/>
        <v>7.1221769016530916E-3</v>
      </c>
      <c r="AD95">
        <f t="shared" si="12"/>
        <v>5.4500754107140864E-3</v>
      </c>
      <c r="AE95">
        <f t="shared" si="13"/>
        <v>3.0001375189082956E-3</v>
      </c>
      <c r="AF95">
        <f t="shared" si="14"/>
        <v>2.041165116016539E-3</v>
      </c>
      <c r="AG95">
        <f t="shared" si="19"/>
        <v>7.7628754236118789E-3</v>
      </c>
    </row>
    <row r="96" spans="1:33" x14ac:dyDescent="0.3">
      <c r="A96" s="17">
        <v>45428</v>
      </c>
      <c r="B96">
        <v>98.1</v>
      </c>
      <c r="C96">
        <v>97.1</v>
      </c>
      <c r="D96">
        <v>110.65</v>
      </c>
      <c r="E96">
        <v>109.55</v>
      </c>
      <c r="F96">
        <v>102.65</v>
      </c>
      <c r="G96">
        <v>101.55</v>
      </c>
      <c r="H96">
        <v>100.2</v>
      </c>
      <c r="I96">
        <v>99</v>
      </c>
      <c r="K96">
        <f t="shared" si="15"/>
        <v>2.5779854442742971E-3</v>
      </c>
      <c r="L96">
        <f t="shared" si="16"/>
        <v>-4.5630847243965147E-4</v>
      </c>
      <c r="M96">
        <f t="shared" si="17"/>
        <v>7.9090871996013151E-3</v>
      </c>
      <c r="N96">
        <f t="shared" si="18"/>
        <v>6.0060240602119487E-3</v>
      </c>
      <c r="AB96">
        <f t="shared" si="10"/>
        <v>6.7903313974634278E-3</v>
      </c>
      <c r="AC96">
        <f t="shared" si="11"/>
        <v>-1.9194651040117859E-4</v>
      </c>
      <c r="AD96">
        <f t="shared" si="12"/>
        <v>2.5033741887124574E-4</v>
      </c>
      <c r="AE96">
        <f t="shared" si="13"/>
        <v>4.0662250699249969E-3</v>
      </c>
      <c r="AF96">
        <f t="shared" si="14"/>
        <v>4.4641122744360686E-3</v>
      </c>
      <c r="AG96">
        <f t="shared" si="19"/>
        <v>-4.5465171906142345E-4</v>
      </c>
    </row>
    <row r="97" spans="1:33" x14ac:dyDescent="0.3">
      <c r="A97" s="17">
        <v>45429</v>
      </c>
      <c r="B97">
        <v>98.25</v>
      </c>
      <c r="C97">
        <v>97.25</v>
      </c>
      <c r="D97">
        <v>111.55</v>
      </c>
      <c r="E97">
        <v>110.35</v>
      </c>
      <c r="F97">
        <v>102.7</v>
      </c>
      <c r="G97">
        <v>101.5</v>
      </c>
      <c r="H97">
        <v>100.2</v>
      </c>
      <c r="I97">
        <v>98.9</v>
      </c>
      <c r="K97">
        <f t="shared" si="15"/>
        <v>1.5436072012763996E-3</v>
      </c>
      <c r="L97">
        <f t="shared" si="16"/>
        <v>7.2760666612697832E-3</v>
      </c>
      <c r="M97">
        <f t="shared" si="17"/>
        <v>-4.9248954455166573E-4</v>
      </c>
      <c r="N97">
        <f t="shared" si="18"/>
        <v>0</v>
      </c>
      <c r="AB97">
        <f t="shared" si="10"/>
        <v>-1.0042367722470115E-3</v>
      </c>
      <c r="AC97">
        <f t="shared" si="11"/>
        <v>-2.4059543281291728E-3</v>
      </c>
      <c r="AD97">
        <f t="shared" si="12"/>
        <v>-2.4268582871983476E-3</v>
      </c>
      <c r="AE97">
        <f t="shared" si="13"/>
        <v>-1.5509678220019178E-3</v>
      </c>
      <c r="AF97">
        <f t="shared" si="14"/>
        <v>-1.5216830592909968E-3</v>
      </c>
      <c r="AG97">
        <f t="shared" si="19"/>
        <v>-2.4685537508023639E-3</v>
      </c>
    </row>
    <row r="98" spans="1:33" x14ac:dyDescent="0.3">
      <c r="A98" s="17">
        <v>45432</v>
      </c>
      <c r="B98">
        <v>98.15</v>
      </c>
      <c r="C98">
        <v>97.05</v>
      </c>
      <c r="D98">
        <v>111.35</v>
      </c>
      <c r="E98">
        <v>110.25</v>
      </c>
      <c r="F98">
        <v>102.35</v>
      </c>
      <c r="G98">
        <v>101.25</v>
      </c>
      <c r="H98">
        <v>99.95</v>
      </c>
      <c r="I98">
        <v>98.85</v>
      </c>
      <c r="K98">
        <f t="shared" si="15"/>
        <v>-2.0586728835364095E-3</v>
      </c>
      <c r="L98">
        <f t="shared" si="16"/>
        <v>-9.066183757899767E-4</v>
      </c>
      <c r="M98">
        <f t="shared" si="17"/>
        <v>-2.4660924951935542E-3</v>
      </c>
      <c r="N98">
        <f t="shared" si="18"/>
        <v>-2.4981277043553646E-3</v>
      </c>
      <c r="R98" s="16" t="s">
        <v>52</v>
      </c>
      <c r="S98" s="16" t="s">
        <v>3</v>
      </c>
      <c r="T98" s="16" t="s">
        <v>53</v>
      </c>
      <c r="U98" t="s">
        <v>54</v>
      </c>
      <c r="X98" cm="1">
        <f t="array" ref="X98:X100">TRANSPOSE(R103:T103)</f>
        <v>-1.6448536269514726</v>
      </c>
      <c r="AB98">
        <f t="shared" si="10"/>
        <v>-3.3267308515610473E-3</v>
      </c>
      <c r="AC98">
        <f t="shared" si="11"/>
        <v>-1.6854035290285233E-3</v>
      </c>
      <c r="AD98">
        <f t="shared" si="12"/>
        <v>-3.7806070513110236E-3</v>
      </c>
      <c r="AE98">
        <f t="shared" si="13"/>
        <v>-2.9498826152320828E-3</v>
      </c>
      <c r="AF98">
        <f t="shared" si="14"/>
        <v>-3.9739174436329624E-3</v>
      </c>
      <c r="AG98">
        <f t="shared" si="19"/>
        <v>-2.172037315707258E-3</v>
      </c>
    </row>
    <row r="99" spans="1:33" x14ac:dyDescent="0.3">
      <c r="A99" s="17">
        <v>45433</v>
      </c>
      <c r="B99">
        <v>98.15</v>
      </c>
      <c r="C99">
        <v>97.05</v>
      </c>
      <c r="D99">
        <v>111.25</v>
      </c>
      <c r="E99">
        <v>109.85</v>
      </c>
      <c r="F99">
        <v>102.15</v>
      </c>
      <c r="G99">
        <v>101.05</v>
      </c>
      <c r="H99">
        <v>99.5</v>
      </c>
      <c r="I99">
        <v>98</v>
      </c>
      <c r="K99">
        <f t="shared" si="15"/>
        <v>0</v>
      </c>
      <c r="L99">
        <f t="shared" si="16"/>
        <v>-3.6347154963361785E-3</v>
      </c>
      <c r="M99">
        <f t="shared" si="17"/>
        <v>-1.9772621370185667E-3</v>
      </c>
      <c r="N99">
        <f t="shared" si="18"/>
        <v>-4.5124167818619979E-3</v>
      </c>
      <c r="Q99" t="s">
        <v>73</v>
      </c>
      <c r="R99">
        <f>AVERAGE(K4:K623)</f>
        <v>1.5667466354068387E-5</v>
      </c>
      <c r="S99">
        <f>AVERAGE(L4:L623)</f>
        <v>-4.5451293110161721E-5</v>
      </c>
      <c r="T99">
        <f>AVERAGE(M4:M623)</f>
        <v>-7.9741479736826587E-7</v>
      </c>
      <c r="U99">
        <f>AVERAGE(N4:N623)</f>
        <v>8.1383157268734713E-7</v>
      </c>
      <c r="X99">
        <v>-2.3263478740408408</v>
      </c>
      <c r="AB99">
        <f t="shared" si="10"/>
        <v>3.5447247513374475E-3</v>
      </c>
      <c r="AC99">
        <f t="shared" si="11"/>
        <v>3.7472278023423077E-3</v>
      </c>
      <c r="AD99">
        <f t="shared" si="12"/>
        <v>3.3591743905690146E-3</v>
      </c>
      <c r="AE99">
        <f t="shared" si="13"/>
        <v>3.7652431211284794E-3</v>
      </c>
      <c r="AF99">
        <f t="shared" si="14"/>
        <v>3.5870642821567459E-3</v>
      </c>
      <c r="AG99">
        <f t="shared" si="19"/>
        <v>3.91687829991667E-3</v>
      </c>
    </row>
    <row r="100" spans="1:33" x14ac:dyDescent="0.3">
      <c r="A100" s="17">
        <v>45434</v>
      </c>
      <c r="B100">
        <v>98.2</v>
      </c>
      <c r="C100">
        <v>97.3</v>
      </c>
      <c r="D100">
        <v>111.45</v>
      </c>
      <c r="E100">
        <v>110.25</v>
      </c>
      <c r="F100">
        <v>102.55</v>
      </c>
      <c r="G100">
        <v>101.45</v>
      </c>
      <c r="H100">
        <v>99.85</v>
      </c>
      <c r="I100">
        <v>98.55</v>
      </c>
      <c r="K100">
        <f t="shared" si="15"/>
        <v>2.5726795769401719E-3</v>
      </c>
      <c r="L100">
        <f t="shared" si="16"/>
        <v>3.6347154963361438E-3</v>
      </c>
      <c r="M100">
        <f t="shared" si="17"/>
        <v>3.9506224221937539E-3</v>
      </c>
      <c r="N100">
        <f t="shared" si="18"/>
        <v>3.5114156972771184E-3</v>
      </c>
      <c r="Q100" t="s">
        <v>74</v>
      </c>
      <c r="R100">
        <f>_xlfn.STDEV.S(K4:K623)</f>
        <v>1.6708985644529953E-3</v>
      </c>
      <c r="S100">
        <f>_xlfn.STDEV.S(L4:L623)</f>
        <v>2.8203583049615376E-3</v>
      </c>
      <c r="T100">
        <f>_xlfn.STDEV.S(M4:M623)</f>
        <v>3.5981205117174694E-3</v>
      </c>
      <c r="U100">
        <f>_xlfn.STDEV.S(N4:N623)</f>
        <v>2.8347134254173853E-3</v>
      </c>
      <c r="X100">
        <v>-1.2815515655446006</v>
      </c>
      <c r="AB100">
        <f t="shared" si="10"/>
        <v>0</v>
      </c>
      <c r="AC100">
        <f t="shared" si="11"/>
        <v>0</v>
      </c>
      <c r="AD100">
        <f t="shared" si="12"/>
        <v>0</v>
      </c>
      <c r="AE100">
        <f t="shared" si="13"/>
        <v>0</v>
      </c>
      <c r="AF100">
        <f t="shared" si="14"/>
        <v>0</v>
      </c>
      <c r="AG100">
        <f t="shared" si="19"/>
        <v>0</v>
      </c>
    </row>
    <row r="101" spans="1:33" x14ac:dyDescent="0.3">
      <c r="A101" s="17">
        <v>45435</v>
      </c>
      <c r="B101">
        <v>98.2</v>
      </c>
      <c r="C101">
        <v>97.3</v>
      </c>
      <c r="D101">
        <v>111.45</v>
      </c>
      <c r="E101">
        <v>110.25</v>
      </c>
      <c r="F101">
        <v>102.55</v>
      </c>
      <c r="G101">
        <v>101.45</v>
      </c>
      <c r="H101">
        <v>99.85</v>
      </c>
      <c r="I101">
        <v>98.55</v>
      </c>
      <c r="K101">
        <f t="shared" si="15"/>
        <v>0</v>
      </c>
      <c r="L101">
        <f t="shared" si="16"/>
        <v>0</v>
      </c>
      <c r="M101">
        <f t="shared" si="17"/>
        <v>0</v>
      </c>
      <c r="N101">
        <f t="shared" si="18"/>
        <v>0</v>
      </c>
      <c r="Q101" t="s">
        <v>75</v>
      </c>
      <c r="R101">
        <f>_xlfn.SKEW.P(K4:K623)</f>
        <v>-0.61034085024486051</v>
      </c>
      <c r="S101">
        <f>_xlfn.SKEW.P(L4:L623)</f>
        <v>-3.9560550813103099E-2</v>
      </c>
      <c r="T101">
        <f>_xlfn.SKEW.P(M4:M623)</f>
        <v>-0.55546981312017407</v>
      </c>
      <c r="U101">
        <f>_xlfn.SKEW.P(N4:N623)</f>
        <v>-0.15309894754636644</v>
      </c>
      <c r="AB101">
        <f t="shared" si="10"/>
        <v>0</v>
      </c>
      <c r="AC101">
        <f t="shared" si="11"/>
        <v>0</v>
      </c>
      <c r="AD101">
        <f t="shared" si="12"/>
        <v>0</v>
      </c>
      <c r="AE101">
        <f t="shared" si="13"/>
        <v>0</v>
      </c>
      <c r="AF101">
        <f t="shared" si="14"/>
        <v>0</v>
      </c>
      <c r="AG101">
        <f t="shared" si="19"/>
        <v>0</v>
      </c>
    </row>
    <row r="102" spans="1:33" x14ac:dyDescent="0.3">
      <c r="A102" s="17">
        <v>45436</v>
      </c>
      <c r="B102">
        <v>98.2</v>
      </c>
      <c r="C102">
        <v>97.3</v>
      </c>
      <c r="D102">
        <v>111.45</v>
      </c>
      <c r="E102">
        <v>110.25</v>
      </c>
      <c r="F102">
        <v>102.55</v>
      </c>
      <c r="G102">
        <v>101.45</v>
      </c>
      <c r="H102">
        <v>99.85</v>
      </c>
      <c r="I102">
        <v>98.55</v>
      </c>
      <c r="K102">
        <f t="shared" si="15"/>
        <v>0</v>
      </c>
      <c r="L102">
        <f t="shared" si="16"/>
        <v>0</v>
      </c>
      <c r="M102">
        <f t="shared" si="17"/>
        <v>0</v>
      </c>
      <c r="N102">
        <f t="shared" si="18"/>
        <v>0</v>
      </c>
      <c r="Q102" t="s">
        <v>76</v>
      </c>
      <c r="R102">
        <f>KURT(K4:K623)</f>
        <v>6.8739324419723271</v>
      </c>
      <c r="S102">
        <f>KURT(L4:L623)</f>
        <v>3.7618872158291339</v>
      </c>
      <c r="T102">
        <f>KURT(M4:M623)</f>
        <v>6.7063199078372904</v>
      </c>
      <c r="U102">
        <f>KURT(N4:N623)</f>
        <v>12.647213777084735</v>
      </c>
      <c r="AB102">
        <f t="shared" si="10"/>
        <v>-4.3553936763283935E-5</v>
      </c>
      <c r="AC102">
        <f t="shared" si="11"/>
        <v>-3.8652244604764734E-3</v>
      </c>
      <c r="AD102">
        <f t="shared" si="12"/>
        <v>-5.1330374201301286E-3</v>
      </c>
      <c r="AE102">
        <f t="shared" si="13"/>
        <v>-1.8368290169428643E-3</v>
      </c>
      <c r="AF102">
        <f t="shared" si="14"/>
        <v>-2.3292864648236222E-3</v>
      </c>
      <c r="AG102">
        <f t="shared" si="19"/>
        <v>-4.5670625870759957E-3</v>
      </c>
    </row>
    <row r="103" spans="1:33" x14ac:dyDescent="0.3">
      <c r="A103" s="17">
        <v>45439</v>
      </c>
      <c r="B103">
        <v>98.25</v>
      </c>
      <c r="C103">
        <v>97.25</v>
      </c>
      <c r="D103">
        <v>111.55</v>
      </c>
      <c r="E103">
        <v>110.25</v>
      </c>
      <c r="F103">
        <v>102</v>
      </c>
      <c r="G103">
        <v>101</v>
      </c>
      <c r="H103">
        <v>99.25</v>
      </c>
      <c r="I103">
        <v>98.25</v>
      </c>
      <c r="K103">
        <f t="shared" si="15"/>
        <v>-5.1400669340362175E-4</v>
      </c>
      <c r="L103">
        <f t="shared" si="16"/>
        <v>0</v>
      </c>
      <c r="M103">
        <f t="shared" si="17"/>
        <v>-4.4455494305642934E-3</v>
      </c>
      <c r="N103">
        <f t="shared" si="18"/>
        <v>-6.0271402945243895E-3</v>
      </c>
      <c r="Q103" t="s">
        <v>77</v>
      </c>
      <c r="R103">
        <f>_xlfn.NORM.INV(0.05,0,1)</f>
        <v>-1.6448536269514726</v>
      </c>
      <c r="S103">
        <f>_xlfn.NORM.INV(0.01,0,1)</f>
        <v>-2.3263478740408408</v>
      </c>
      <c r="T103">
        <f>_xlfn.NORM.INV(0.1,0,1)</f>
        <v>-1.2815515655446006</v>
      </c>
      <c r="AB103">
        <f t="shared" si="10"/>
        <v>-9.177248931588794E-4</v>
      </c>
      <c r="AC103">
        <f t="shared" si="11"/>
        <v>-1.5185952255183217E-4</v>
      </c>
      <c r="AD103">
        <f t="shared" si="12"/>
        <v>6.7688061409661268E-4</v>
      </c>
      <c r="AE103">
        <f t="shared" si="13"/>
        <v>-5.3250112340114304E-4</v>
      </c>
      <c r="AF103">
        <f t="shared" si="14"/>
        <v>-1.6755506101716658E-4</v>
      </c>
      <c r="AG103">
        <f t="shared" si="19"/>
        <v>7.7371308759415335E-5</v>
      </c>
    </row>
    <row r="104" spans="1:33" x14ac:dyDescent="0.3">
      <c r="A104" s="17">
        <v>45440</v>
      </c>
      <c r="B104">
        <v>98.15</v>
      </c>
      <c r="C104">
        <v>97.15</v>
      </c>
      <c r="D104">
        <v>111.45</v>
      </c>
      <c r="E104">
        <v>110.15</v>
      </c>
      <c r="F104">
        <v>102</v>
      </c>
      <c r="G104">
        <v>101</v>
      </c>
      <c r="H104">
        <v>99.35</v>
      </c>
      <c r="I104">
        <v>98.25</v>
      </c>
      <c r="K104">
        <f t="shared" si="15"/>
        <v>-1.028806675106524E-3</v>
      </c>
      <c r="L104">
        <f t="shared" si="16"/>
        <v>-9.0744107860319322E-4</v>
      </c>
      <c r="M104">
        <f t="shared" si="17"/>
        <v>0</v>
      </c>
      <c r="N104">
        <f t="shared" si="18"/>
        <v>1.0070494305260034E-3</v>
      </c>
      <c r="AB104">
        <f t="shared" si="10"/>
        <v>-3.329756534313695E-3</v>
      </c>
      <c r="AC104">
        <f t="shared" si="11"/>
        <v>-1.2668705187117613E-3</v>
      </c>
      <c r="AD104">
        <f t="shared" si="12"/>
        <v>-2.5337411680055044E-3</v>
      </c>
      <c r="AE104">
        <f t="shared" si="13"/>
        <v>-2.7489452571615135E-3</v>
      </c>
      <c r="AF104">
        <f t="shared" si="14"/>
        <v>-3.400798461208289E-3</v>
      </c>
      <c r="AG104">
        <f t="shared" si="19"/>
        <v>-1.6044121767924485E-3</v>
      </c>
    </row>
    <row r="105" spans="1:33" x14ac:dyDescent="0.3">
      <c r="A105" s="17">
        <v>45441</v>
      </c>
      <c r="B105">
        <v>98.15</v>
      </c>
      <c r="C105">
        <v>97.15</v>
      </c>
      <c r="D105">
        <v>111.25</v>
      </c>
      <c r="E105">
        <v>109.75</v>
      </c>
      <c r="F105">
        <v>101.85</v>
      </c>
      <c r="G105">
        <v>100.85</v>
      </c>
      <c r="H105">
        <v>99.05</v>
      </c>
      <c r="I105">
        <v>97.55</v>
      </c>
      <c r="K105">
        <f t="shared" si="15"/>
        <v>0</v>
      </c>
      <c r="L105">
        <f t="shared" si="16"/>
        <v>-3.6380212930713978E-3</v>
      </c>
      <c r="M105">
        <f t="shared" si="17"/>
        <v>-1.4862524410386732E-3</v>
      </c>
      <c r="N105">
        <f t="shared" si="18"/>
        <v>-3.0241958532659105E-3</v>
      </c>
      <c r="AB105">
        <f t="shared" si="10"/>
        <v>-3.9351328070887058E-3</v>
      </c>
      <c r="AC105">
        <f t="shared" si="11"/>
        <v>-1.9962835143988154E-3</v>
      </c>
      <c r="AD105">
        <f t="shared" si="12"/>
        <v>-3.7244984729500764E-3</v>
      </c>
      <c r="AE105">
        <f t="shared" si="13"/>
        <v>-3.2312425991695599E-3</v>
      </c>
      <c r="AF105">
        <f t="shared" si="14"/>
        <v>-4.0846509961549385E-3</v>
      </c>
      <c r="AG105">
        <f t="shared" si="19"/>
        <v>-2.1434912434077254E-3</v>
      </c>
    </row>
    <row r="106" spans="1:33" x14ac:dyDescent="0.3">
      <c r="A106" s="17">
        <v>45442</v>
      </c>
      <c r="B106">
        <v>97.95</v>
      </c>
      <c r="C106">
        <v>96.95</v>
      </c>
      <c r="D106">
        <v>110.9</v>
      </c>
      <c r="E106">
        <v>109.3</v>
      </c>
      <c r="F106">
        <v>101.65</v>
      </c>
      <c r="G106">
        <v>100.65</v>
      </c>
      <c r="H106">
        <v>98.65</v>
      </c>
      <c r="I106">
        <v>97.15</v>
      </c>
      <c r="K106">
        <f t="shared" si="15"/>
        <v>-2.0607941347883609E-3</v>
      </c>
      <c r="L106">
        <f t="shared" si="16"/>
        <v>-4.1086567727878949E-3</v>
      </c>
      <c r="M106">
        <f t="shared" si="17"/>
        <v>-1.985112314420185E-3</v>
      </c>
      <c r="N106">
        <f t="shared" si="18"/>
        <v>-4.0465406759355484E-3</v>
      </c>
      <c r="Q106" t="s">
        <v>78</v>
      </c>
      <c r="AB106">
        <f t="shared" si="10"/>
        <v>5.3594721045335586E-3</v>
      </c>
      <c r="AC106">
        <f t="shared" si="11"/>
        <v>4.4102525085520693E-3</v>
      </c>
      <c r="AD106">
        <f t="shared" si="12"/>
        <v>3.2117382937637612E-3</v>
      </c>
      <c r="AE106">
        <f t="shared" si="13"/>
        <v>5.0557076305831599E-3</v>
      </c>
      <c r="AF106">
        <f t="shared" si="14"/>
        <v>4.5322511478679516E-3</v>
      </c>
      <c r="AG106">
        <f t="shared" si="19"/>
        <v>4.3515273886314734E-3</v>
      </c>
    </row>
    <row r="107" spans="1:33" x14ac:dyDescent="0.3">
      <c r="A107" s="17">
        <v>45443</v>
      </c>
      <c r="B107">
        <v>98.35</v>
      </c>
      <c r="C107">
        <v>97.35</v>
      </c>
      <c r="D107">
        <v>111.4</v>
      </c>
      <c r="E107">
        <v>109.9</v>
      </c>
      <c r="F107">
        <v>102.05</v>
      </c>
      <c r="G107">
        <v>101.1</v>
      </c>
      <c r="H107">
        <v>98.95</v>
      </c>
      <c r="I107">
        <v>97.55</v>
      </c>
      <c r="K107">
        <f t="shared" si="15"/>
        <v>4.1173501295477498E-3</v>
      </c>
      <c r="L107">
        <f t="shared" si="16"/>
        <v>5.4744662270829903E-3</v>
      </c>
      <c r="M107">
        <f t="shared" si="17"/>
        <v>4.4609739406250449E-3</v>
      </c>
      <c r="N107">
        <f t="shared" si="18"/>
        <v>3.0364395799503188E-3</v>
      </c>
      <c r="Q107" t="s">
        <v>0</v>
      </c>
      <c r="R107" s="16" t="s">
        <v>26</v>
      </c>
      <c r="S107" s="16" t="s">
        <v>27</v>
      </c>
      <c r="T107" s="16" t="s">
        <v>28</v>
      </c>
      <c r="U107" s="16" t="s">
        <v>73</v>
      </c>
      <c r="V107" s="16" t="s">
        <v>74</v>
      </c>
      <c r="W107" s="16" t="s">
        <v>75</v>
      </c>
      <c r="X107" s="16" t="s">
        <v>76</v>
      </c>
      <c r="Y107" s="16" t="s">
        <v>79</v>
      </c>
      <c r="Z107" s="16" t="s">
        <v>80</v>
      </c>
      <c r="AA107" s="16" t="s">
        <v>81</v>
      </c>
      <c r="AB107">
        <f t="shared" si="10"/>
        <v>6.5817768266330438E-4</v>
      </c>
      <c r="AC107">
        <f t="shared" si="11"/>
        <v>3.0622560398502079E-3</v>
      </c>
      <c r="AD107">
        <f t="shared" si="12"/>
        <v>1.3581922465617162E-3</v>
      </c>
      <c r="AE107">
        <f t="shared" si="13"/>
        <v>2.165239402834333E-3</v>
      </c>
      <c r="AF107">
        <f t="shared" si="14"/>
        <v>1.3383577136327923E-3</v>
      </c>
      <c r="AG107">
        <f t="shared" si="19"/>
        <v>3.8004303470531697E-3</v>
      </c>
    </row>
    <row r="108" spans="1:33" x14ac:dyDescent="0.3">
      <c r="A108" s="17">
        <v>45446</v>
      </c>
      <c r="B108">
        <v>98.35</v>
      </c>
      <c r="C108">
        <v>97.15</v>
      </c>
      <c r="D108">
        <v>111.5</v>
      </c>
      <c r="E108">
        <v>110</v>
      </c>
      <c r="F108">
        <v>102.5</v>
      </c>
      <c r="G108">
        <v>101.5</v>
      </c>
      <c r="H108">
        <v>99.15</v>
      </c>
      <c r="I108">
        <v>98.15</v>
      </c>
      <c r="K108">
        <f t="shared" si="15"/>
        <v>-2.0565559947594994E-3</v>
      </c>
      <c r="L108">
        <f t="shared" si="16"/>
        <v>9.095043828403909E-4</v>
      </c>
      <c r="M108">
        <f t="shared" si="17"/>
        <v>3.9486724554162796E-3</v>
      </c>
      <c r="N108">
        <f t="shared" si="18"/>
        <v>2.0191829172303642E-3</v>
      </c>
      <c r="P108" s="51">
        <v>1</v>
      </c>
      <c r="Q108" t="str">
        <f>'Simulasi Obligasi'!A48</f>
        <v>FR0064&amp;FR0072</v>
      </c>
      <c r="R108">
        <f>'Simulasi Obligasi'!B48</f>
        <v>6</v>
      </c>
      <c r="S108">
        <f>'Simulasi Obligasi'!C48</f>
        <v>8.4734182107397915E-2</v>
      </c>
      <c r="T108">
        <f>'Simulasi Obligasi'!D48</f>
        <v>0.91526581789260208</v>
      </c>
      <c r="U108">
        <f>AVERAGE(AB3:AB620)</f>
        <v>-4.0207279246907793E-5</v>
      </c>
      <c r="V108" cm="1">
        <f t="array" ref="V108:V113">TRANSPOSE(AB622:AG622)</f>
        <v>2.6385302195842506E-3</v>
      </c>
      <c r="W108" cm="1">
        <f t="array" ref="W108:X113">TRANSPOSE(AB623:AG624)</f>
        <v>-2.3645706113441897E-2</v>
      </c>
      <c r="X108">
        <v>3.7026720823056354</v>
      </c>
      <c r="Y108">
        <f>X$98 + (1/6)*((X$98^2) - 1)*$W108 + (1/24)*((X$98^3) - 3*X$98)*$X108 - (1/36)*(2*(X$98^3) - 5*X$98)*($W108^2)</f>
        <v>-1.5768419014844874</v>
      </c>
      <c r="Z108">
        <f>X$99 + (1/6)*((X$99^2) - 1)*$W108 + (1/24)*((X$99^3) - 3*X$99)*$X108 - (1/36)*(2*(X$99^3) - 5*X$99)*($W108^2)</f>
        <v>-3.2091638113617016</v>
      </c>
      <c r="AA108">
        <f>X$100 + (1/6)*((X$100^2) - 1)*$W108 + (1/24)*((X$100^3) - 3*X$100)*$X108 - (1/36)*(2*(X$100^3) - 5*X$100)*($W108^2)</f>
        <v>-1.0156940349620676</v>
      </c>
      <c r="AB108">
        <f t="shared" si="10"/>
        <v>-2.418639079657025E-4</v>
      </c>
      <c r="AC108">
        <f t="shared" si="11"/>
        <v>1.9815016179304517E-3</v>
      </c>
      <c r="AD108">
        <f t="shared" si="12"/>
        <v>3.3352586011945585E-4</v>
      </c>
      <c r="AE108">
        <f t="shared" si="13"/>
        <v>5.465589289299134E-4</v>
      </c>
      <c r="AF108">
        <f t="shared" si="14"/>
        <v>-2.7894236623033481E-4</v>
      </c>
      <c r="AG108">
        <f t="shared" si="19"/>
        <v>1.8172649507930373E-3</v>
      </c>
    </row>
    <row r="109" spans="1:33" x14ac:dyDescent="0.3">
      <c r="A109" s="17">
        <v>45447</v>
      </c>
      <c r="B109">
        <v>98.35</v>
      </c>
      <c r="C109">
        <v>97.35</v>
      </c>
      <c r="D109">
        <v>111.55</v>
      </c>
      <c r="E109">
        <v>109.95</v>
      </c>
      <c r="F109">
        <v>102.55</v>
      </c>
      <c r="G109">
        <v>101.7</v>
      </c>
      <c r="H109">
        <v>99.15</v>
      </c>
      <c r="I109">
        <v>98.15</v>
      </c>
      <c r="K109">
        <f t="shared" si="15"/>
        <v>2.0565559947595671E-3</v>
      </c>
      <c r="L109">
        <f t="shared" si="16"/>
        <v>-4.5464879164595749E-4</v>
      </c>
      <c r="M109">
        <f t="shared" si="17"/>
        <v>1.9685045726723751E-3</v>
      </c>
      <c r="N109">
        <f t="shared" si="18"/>
        <v>0</v>
      </c>
      <c r="P109" s="51">
        <v>2</v>
      </c>
      <c r="Q109" t="str">
        <f>'Simulasi Obligasi'!A49</f>
        <v>FR0064&amp;FR0097</v>
      </c>
      <c r="R109">
        <f>'Simulasi Obligasi'!B49</f>
        <v>7</v>
      </c>
      <c r="S109">
        <f>'Simulasi Obligasi'!C49</f>
        <v>0.14760744290088168</v>
      </c>
      <c r="T109">
        <f>'Simulasi Obligasi'!D49</f>
        <v>0.85239255709911832</v>
      </c>
      <c r="U109">
        <f>AVERAGE(AC3:AC620)</f>
        <v>1.6302819348824444E-6</v>
      </c>
      <c r="V109">
        <v>3.1661927492197335E-3</v>
      </c>
      <c r="W109">
        <v>-0.53837741538033812</v>
      </c>
      <c r="X109">
        <v>6.4677409651438165</v>
      </c>
      <c r="Y109">
        <f>X$98 + (1/6)*((X$98^2) - 1)*$W109 + (1/24)*((X$98^3) - 3*X$98)*$X109 - (1/36)*(2*(X$98^3) - 5*X$98)*($W109^2)</f>
        <v>-1.6619232902433818</v>
      </c>
      <c r="Z109">
        <f>X$99 + (1/6)*((X$99^2) - 1)*$W109 + (1/24)*((X$99^3) - 3*X$99)*$X109 - (1/36)*(2*(X$99^3) - 5*X$99)*($W109^2)</f>
        <v>-4.1252221427018139</v>
      </c>
      <c r="AA109">
        <f>X$100 + (1/6)*((X$100^2) - 1)*$W109 + (1/24)*((X$100^3) - 3*X$100)*$X109 - (1/36)*(2*(X$100^3) - 5*X$100)*($W109^2)</f>
        <v>-0.88801455448209121</v>
      </c>
      <c r="AB109">
        <f t="shared" si="10"/>
        <v>1.2478063526332008E-3</v>
      </c>
      <c r="AC109">
        <f t="shared" si="11"/>
        <v>-3.7800175343823419E-3</v>
      </c>
      <c r="AD109">
        <f t="shared" si="12"/>
        <v>-1.691718106681082E-3</v>
      </c>
      <c r="AE109">
        <f t="shared" si="13"/>
        <v>-1.0322814713835673E-3</v>
      </c>
      <c r="AF109">
        <f t="shared" si="14"/>
        <v>5.610082163917706E-5</v>
      </c>
      <c r="AG109">
        <f t="shared" si="19"/>
        <v>-4.2490215157967096E-3</v>
      </c>
    </row>
    <row r="110" spans="1:33" x14ac:dyDescent="0.3">
      <c r="A110" s="17">
        <v>45448</v>
      </c>
      <c r="B110">
        <v>98.35</v>
      </c>
      <c r="C110">
        <v>97.35</v>
      </c>
      <c r="D110">
        <v>111.1</v>
      </c>
      <c r="E110">
        <v>110.1</v>
      </c>
      <c r="F110">
        <v>102.35</v>
      </c>
      <c r="G110">
        <v>101.25</v>
      </c>
      <c r="H110">
        <v>98.95</v>
      </c>
      <c r="I110">
        <v>97.75</v>
      </c>
      <c r="K110">
        <f t="shared" si="15"/>
        <v>0</v>
      </c>
      <c r="L110">
        <f t="shared" si="16"/>
        <v>1.3633267278639037E-3</v>
      </c>
      <c r="M110">
        <f t="shared" si="17"/>
        <v>-4.4345970678657531E-3</v>
      </c>
      <c r="N110">
        <f t="shared" si="18"/>
        <v>-2.0191829172302696E-3</v>
      </c>
      <c r="P110" s="51">
        <v>3</v>
      </c>
      <c r="Q110" t="str">
        <f>'Simulasi Obligasi'!A50</f>
        <v>FR0064&amp;FR00102</v>
      </c>
      <c r="R110">
        <f>'Simulasi Obligasi'!B50</f>
        <v>7</v>
      </c>
      <c r="S110">
        <f>'Simulasi Obligasi'!C50</f>
        <v>0.16217689232354138</v>
      </c>
      <c r="T110">
        <f>'Simulasi Obligasi'!D50</f>
        <v>0.83782310767645862</v>
      </c>
      <c r="U110">
        <f>AVERAGE(AE3:AE620)</f>
        <v>-2.6957342889010018E-5</v>
      </c>
      <c r="V110">
        <v>2.4574571940747447E-3</v>
      </c>
      <c r="W110">
        <v>-8.7544948600598207E-2</v>
      </c>
      <c r="X110">
        <v>11.505243623124352</v>
      </c>
      <c r="Y110">
        <f>X$98 + (1/6)*((X$98^2) - 1)*$W110 + (1/24)*((X$98^3) - 3*X$98)*$X110 - (1/36)*(2*(X$98^3) - 5*X$98)*($W110^2)</f>
        <v>-1.4374105539633797</v>
      </c>
      <c r="Z110">
        <f>X$99 + (1/6)*((X$99^2) - 1)*$W110 + (1/24)*((X$99^3) - 3*X$99)*$X110 - (1/36)*(2*(X$99^3) - 5*X$99)*($W110^2)</f>
        <v>-5.0776215272505647</v>
      </c>
      <c r="AA110">
        <f t="shared" ref="AA110:AA113" si="20">X$100 + (1/6)*((X$100^2) - 1)*$W110 + (1/24)*((X$100^3) - 3*X$100)*$X110 - (1/36)*(2*(X$100^3) - 5*X$100)*($W110^2)</f>
        <v>-0.45732581667326749</v>
      </c>
      <c r="AB110">
        <f t="shared" si="10"/>
        <v>-9.1876735250571561E-4</v>
      </c>
      <c r="AC110">
        <f t="shared" si="11"/>
        <v>-9.9398865302617644E-4</v>
      </c>
      <c r="AD110">
        <f t="shared" si="12"/>
        <v>-1.6667719074895242E-4</v>
      </c>
      <c r="AE110">
        <f t="shared" si="13"/>
        <v>-9.4151135430976308E-4</v>
      </c>
      <c r="AF110">
        <f t="shared" si="14"/>
        <v>-5.575045580838439E-4</v>
      </c>
      <c r="AG110">
        <f t="shared" si="19"/>
        <v>-9.1222368775901292E-4</v>
      </c>
    </row>
    <row r="111" spans="1:33" x14ac:dyDescent="0.3">
      <c r="A111" s="17">
        <v>45449</v>
      </c>
      <c r="B111">
        <v>98.25</v>
      </c>
      <c r="C111">
        <v>97.25</v>
      </c>
      <c r="D111">
        <v>111.6</v>
      </c>
      <c r="E111">
        <v>110</v>
      </c>
      <c r="F111">
        <v>102.15</v>
      </c>
      <c r="G111">
        <v>101.15</v>
      </c>
      <c r="H111">
        <v>98.95</v>
      </c>
      <c r="I111">
        <v>97.75</v>
      </c>
      <c r="K111">
        <f t="shared" si="15"/>
        <v>-1.0277493196529687E-3</v>
      </c>
      <c r="L111">
        <f t="shared" si="16"/>
        <v>-9.0867793621795319E-4</v>
      </c>
      <c r="M111">
        <f t="shared" si="17"/>
        <v>-9.8814237289396919E-4</v>
      </c>
      <c r="N111">
        <f t="shared" si="18"/>
        <v>0</v>
      </c>
      <c r="P111" s="51">
        <v>4</v>
      </c>
      <c r="Q111" t="str">
        <f>'Simulasi Obligasi'!A51</f>
        <v>FR0072&amp;FR0097</v>
      </c>
      <c r="R111">
        <f>'Simulasi Obligasi'!B51</f>
        <v>7</v>
      </c>
      <c r="S111">
        <f>'Simulasi Obligasi'!C51</f>
        <v>0.58681619772031024</v>
      </c>
      <c r="T111">
        <f>'Simulasi Obligasi'!D51</f>
        <v>0.41318380227968976</v>
      </c>
      <c r="U111">
        <f>AVERAGE(AD3:AD620)</f>
        <v>3.2175330988113823E-6</v>
      </c>
      <c r="V111">
        <v>2.6992223524323275E-3</v>
      </c>
      <c r="W111">
        <v>-0.30110984571886779</v>
      </c>
      <c r="X111">
        <v>5.6676386042146927</v>
      </c>
      <c r="Y111">
        <f t="shared" ref="Y111:Y112" si="21">X$98 + (1/6)*((X$98^2) - 1)*$W111 + (1/24)*((X$98^3) - 3*X$98)*$X111 - (1/36)*(2*(X$98^3) - 5*X$98)*($W111^2)</f>
        <v>-1.6143661278916464</v>
      </c>
      <c r="Z111">
        <f t="shared" ref="Z111" si="22">X$99 + (1/6)*((X$99^2) - 1)*$W111 + (1/24)*((X$99^3) - 3*X$99)*$X111 - (1/36)*(2*(X$99^3) - 5*X$99)*($W111^2)</f>
        <v>-3.8386615706523246</v>
      </c>
      <c r="AA111">
        <f t="shared" si="20"/>
        <v>-0.90845286566615835</v>
      </c>
      <c r="AB111">
        <f t="shared" si="10"/>
        <v>-3.725705613764273E-4</v>
      </c>
      <c r="AC111">
        <f t="shared" si="11"/>
        <v>4.971178528600205E-4</v>
      </c>
      <c r="AD111">
        <f t="shared" si="12"/>
        <v>-3.4010379042132959E-4</v>
      </c>
      <c r="AE111">
        <f t="shared" si="13"/>
        <v>-6.2602633408597797E-5</v>
      </c>
      <c r="AF111">
        <f t="shared" si="14"/>
        <v>-4.7427533781078739E-4</v>
      </c>
      <c r="AG111">
        <f t="shared" si="19"/>
        <v>4.1739222014386314E-4</v>
      </c>
    </row>
    <row r="112" spans="1:33" x14ac:dyDescent="0.3">
      <c r="A112" s="17">
        <v>45450</v>
      </c>
      <c r="B112">
        <v>98.3</v>
      </c>
      <c r="C112">
        <v>97.3</v>
      </c>
      <c r="D112">
        <v>111.05</v>
      </c>
      <c r="E112">
        <v>109.95</v>
      </c>
      <c r="F112">
        <v>102.3</v>
      </c>
      <c r="G112">
        <v>101.2</v>
      </c>
      <c r="H112">
        <v>98.9</v>
      </c>
      <c r="I112">
        <v>97.8</v>
      </c>
      <c r="K112">
        <f t="shared" si="15"/>
        <v>5.1400669340373158E-4</v>
      </c>
      <c r="L112">
        <f t="shared" si="16"/>
        <v>-4.5464879164595749E-4</v>
      </c>
      <c r="M112">
        <f t="shared" si="17"/>
        <v>4.9419323961057832E-4</v>
      </c>
      <c r="N112">
        <f t="shared" si="18"/>
        <v>-5.0543341990822094E-4</v>
      </c>
      <c r="P112" s="51">
        <v>5</v>
      </c>
      <c r="Q112" t="str">
        <f>'Simulasi Obligasi'!A52</f>
        <v>FR0072&amp;FR00102</v>
      </c>
      <c r="R112">
        <f>'Simulasi Obligasi'!B52</f>
        <v>7</v>
      </c>
      <c r="S112">
        <f>'Simulasi Obligasi'!C52</f>
        <v>0.61353372395532912</v>
      </c>
      <c r="T112">
        <f>'Simulasi Obligasi'!D52</f>
        <v>0.38646627604467093</v>
      </c>
      <c r="U112">
        <f>AVERAGE(AF3:AF620)</f>
        <v>-2.7526768775434101E-5</v>
      </c>
      <c r="V112">
        <v>2.3425277954652384E-3</v>
      </c>
      <c r="W112">
        <v>-0.39118858509065901</v>
      </c>
      <c r="X112">
        <v>4.4155490700724194</v>
      </c>
      <c r="Y112">
        <f t="shared" si="21"/>
        <v>-1.6640684475743068</v>
      </c>
      <c r="Z112">
        <f>X$99 + (1/6)*((X$99^2) - 1)*$W112 + (1/24)*((X$99^3) - 3*X$99)*$X112 - (1/36)*(2*(X$99^3) - 5*X$99)*($W112^2)</f>
        <v>-3.5887057800901156</v>
      </c>
      <c r="AA112">
        <f t="shared" si="20"/>
        <v>-1.0126742993674382</v>
      </c>
      <c r="AB112">
        <f t="shared" si="10"/>
        <v>-1.7535227540234767E-3</v>
      </c>
      <c r="AC112">
        <f t="shared" si="11"/>
        <v>-6.0682632058189651E-3</v>
      </c>
      <c r="AD112">
        <f t="shared" si="12"/>
        <v>-1.6676288597780226E-4</v>
      </c>
      <c r="AE112">
        <f t="shared" si="13"/>
        <v>-3.9363166396340805E-3</v>
      </c>
      <c r="AF112">
        <f t="shared" si="14"/>
        <v>-1.1170394054344538E-3</v>
      </c>
      <c r="AG112">
        <f t="shared" si="19"/>
        <v>-6.4077521297055528E-3</v>
      </c>
    </row>
    <row r="113" spans="1:33" x14ac:dyDescent="0.3">
      <c r="A113" s="17">
        <v>45453</v>
      </c>
      <c r="B113">
        <v>98.1</v>
      </c>
      <c r="C113">
        <v>97.2</v>
      </c>
      <c r="D113">
        <v>110.95</v>
      </c>
      <c r="E113">
        <v>109.75</v>
      </c>
      <c r="F113">
        <v>101.5</v>
      </c>
      <c r="G113">
        <v>100.5</v>
      </c>
      <c r="H113">
        <v>98.9</v>
      </c>
      <c r="I113">
        <v>97.7</v>
      </c>
      <c r="K113">
        <f t="shared" si="15"/>
        <v>-1.0282777255659324E-3</v>
      </c>
      <c r="L113">
        <f t="shared" si="16"/>
        <v>-1.8206650454894709E-3</v>
      </c>
      <c r="M113">
        <f t="shared" si="17"/>
        <v>-6.9410293542347999E-3</v>
      </c>
      <c r="N113">
        <f t="shared" si="18"/>
        <v>0</v>
      </c>
      <c r="P113" s="51">
        <v>6</v>
      </c>
      <c r="Q113" t="str">
        <f>'Simulasi Obligasi'!A53</f>
        <v>FR0097&amp;FR00102</v>
      </c>
      <c r="R113">
        <f>'Simulasi Obligasi'!B53</f>
        <v>7.89</v>
      </c>
      <c r="S113">
        <f>'Simulasi Obligasi'!C53</f>
        <v>0.92317029689495711</v>
      </c>
      <c r="T113">
        <f>'Simulasi Obligasi'!D53</f>
        <v>7.6829703105042862E-2</v>
      </c>
      <c r="U113">
        <f>AVERAGE(AG3:AG620)</f>
        <v>-6.7253321192210421E-7</v>
      </c>
      <c r="V113">
        <v>3.423091124921862E-3</v>
      </c>
      <c r="W113">
        <v>-0.54379572489030392</v>
      </c>
      <c r="X113">
        <v>6.6176662743458774</v>
      </c>
      <c r="Y113">
        <f>X$98 + (1/6)*((X$98^2) - 1)*$W113 + (1/24)*((X$98^3) - 3*X$98)*$X113 - (1/36)*(2*(X$98^3) - 5*X$98)*($W113^2)</f>
        <v>-1.6603277459159609</v>
      </c>
      <c r="Z113">
        <f>X$99 + (1/6)*((X$99^2) - 1)*$W113 + (1/24)*((X$99^3) - 3*X$99)*$X113 - (1/36)*(2*(X$99^3) - 5*X$99)*($W113^2)</f>
        <v>-4.162050333613851</v>
      </c>
      <c r="AA113">
        <f t="shared" si="20"/>
        <v>-0.87808392844497984</v>
      </c>
      <c r="AB113">
        <f t="shared" si="10"/>
        <v>-5.0174588032209557E-3</v>
      </c>
      <c r="AC113">
        <f t="shared" si="11"/>
        <v>-3.8252534972496237E-3</v>
      </c>
      <c r="AD113">
        <f t="shared" si="12"/>
        <v>-6.8046920872388839E-3</v>
      </c>
      <c r="AE113">
        <f t="shared" si="13"/>
        <v>-5.0711392759182792E-3</v>
      </c>
      <c r="AF113">
        <f t="shared" si="14"/>
        <v>-6.5022024787388735E-3</v>
      </c>
      <c r="AG113">
        <f t="shared" si="19"/>
        <v>-4.7668814057337605E-3</v>
      </c>
    </row>
    <row r="114" spans="1:33" x14ac:dyDescent="0.3">
      <c r="A114" s="17">
        <v>45454</v>
      </c>
      <c r="B114">
        <v>98.1</v>
      </c>
      <c r="C114">
        <v>97.2</v>
      </c>
      <c r="D114">
        <v>110.45</v>
      </c>
      <c r="E114">
        <v>109.15</v>
      </c>
      <c r="F114">
        <v>101.15</v>
      </c>
      <c r="G114">
        <v>100.05</v>
      </c>
      <c r="H114">
        <v>98.1</v>
      </c>
      <c r="I114">
        <v>97.1</v>
      </c>
      <c r="K114">
        <f t="shared" si="15"/>
        <v>0</v>
      </c>
      <c r="L114">
        <f t="shared" si="16"/>
        <v>-5.4819689593277347E-3</v>
      </c>
      <c r="M114">
        <f t="shared" si="17"/>
        <v>-4.4876664693880167E-3</v>
      </c>
      <c r="N114">
        <f t="shared" si="18"/>
        <v>-8.1218720573491814E-3</v>
      </c>
      <c r="AB114">
        <f t="shared" si="10"/>
        <v>-2.4519474671362568E-4</v>
      </c>
      <c r="AC114">
        <f t="shared" si="11"/>
        <v>1.1549480650571153E-3</v>
      </c>
      <c r="AD114">
        <f t="shared" si="12"/>
        <v>2.0397157674547028E-3</v>
      </c>
      <c r="AE114">
        <f t="shared" si="13"/>
        <v>1.4389765985603449E-4</v>
      </c>
      <c r="AF114">
        <f t="shared" si="14"/>
        <v>5.0598551735694291E-4</v>
      </c>
      <c r="AG114">
        <f t="shared" si="19"/>
        <v>1.0787241533723498E-3</v>
      </c>
    </row>
    <row r="115" spans="1:33" x14ac:dyDescent="0.3">
      <c r="A115" s="17">
        <v>45455</v>
      </c>
      <c r="B115">
        <v>98.2</v>
      </c>
      <c r="C115">
        <v>97.4</v>
      </c>
      <c r="D115">
        <v>110.1</v>
      </c>
      <c r="E115">
        <v>109.1</v>
      </c>
      <c r="F115">
        <v>101.15</v>
      </c>
      <c r="G115">
        <v>100.15</v>
      </c>
      <c r="H115">
        <v>98.3</v>
      </c>
      <c r="I115">
        <v>97.3</v>
      </c>
      <c r="K115">
        <f t="shared" si="15"/>
        <v>2.0554991820959595E-3</v>
      </c>
      <c r="L115">
        <f t="shared" si="16"/>
        <v>-4.581901569278979E-4</v>
      </c>
      <c r="M115">
        <f t="shared" si="17"/>
        <v>9.9900108208483308E-4</v>
      </c>
      <c r="N115">
        <f t="shared" si="18"/>
        <v>2.036660581803555E-3</v>
      </c>
      <c r="AB115">
        <f t="shared" si="10"/>
        <v>3.7585658001754087E-4</v>
      </c>
      <c r="AC115">
        <f t="shared" si="11"/>
        <v>-5.0145750426917651E-4</v>
      </c>
      <c r="AD115">
        <f t="shared" si="12"/>
        <v>3.4277346362862626E-4</v>
      </c>
      <c r="AE115">
        <f t="shared" si="13"/>
        <v>6.2539417773012221E-5</v>
      </c>
      <c r="AF115">
        <f t="shared" si="14"/>
        <v>4.7764004810462205E-4</v>
      </c>
      <c r="AG115">
        <f t="shared" si="19"/>
        <v>-4.2193963439114853E-4</v>
      </c>
    </row>
    <row r="116" spans="1:33" x14ac:dyDescent="0.3">
      <c r="A116" s="17">
        <v>45456</v>
      </c>
      <c r="B116">
        <v>98.35</v>
      </c>
      <c r="C116">
        <v>97.35</v>
      </c>
      <c r="D116">
        <v>110.15</v>
      </c>
      <c r="E116">
        <v>109.15</v>
      </c>
      <c r="F116">
        <v>101.1</v>
      </c>
      <c r="G116">
        <v>100.1</v>
      </c>
      <c r="H116">
        <v>98.35</v>
      </c>
      <c r="I116">
        <v>97.25</v>
      </c>
      <c r="K116">
        <f t="shared" si="15"/>
        <v>-5.1347883028088381E-4</v>
      </c>
      <c r="L116">
        <f t="shared" si="16"/>
        <v>4.5819015692779165E-4</v>
      </c>
      <c r="M116">
        <f t="shared" si="17"/>
        <v>-4.9937579065250108E-4</v>
      </c>
      <c r="N116">
        <f t="shared" si="18"/>
        <v>5.0851768194728954E-4</v>
      </c>
      <c r="Q116" s="65" t="s">
        <v>82</v>
      </c>
      <c r="R116" s="65">
        <v>0.01</v>
      </c>
      <c r="S116" s="65">
        <v>0.05</v>
      </c>
      <c r="T116" s="65">
        <v>0.1</v>
      </c>
      <c r="AB116">
        <f t="shared" si="10"/>
        <v>-4.1473292921907212E-3</v>
      </c>
      <c r="AC116">
        <f t="shared" si="11"/>
        <v>-6.9240424319987059E-3</v>
      </c>
      <c r="AD116">
        <f t="shared" si="12"/>
        <v>-2.3586102464364933E-3</v>
      </c>
      <c r="AE116">
        <f t="shared" si="13"/>
        <v>-4.8462053078346581E-3</v>
      </c>
      <c r="AF116">
        <f t="shared" si="14"/>
        <v>-2.6456855636729877E-3</v>
      </c>
      <c r="AG116">
        <f t="shared" si="19"/>
        <v>-6.0923184150859216E-3</v>
      </c>
    </row>
    <row r="117" spans="1:33" x14ac:dyDescent="0.3">
      <c r="A117" s="17">
        <v>45457</v>
      </c>
      <c r="B117">
        <v>98.05</v>
      </c>
      <c r="C117">
        <v>96.45</v>
      </c>
      <c r="D117">
        <v>109.75</v>
      </c>
      <c r="E117">
        <v>108.75</v>
      </c>
      <c r="F117">
        <v>100.45</v>
      </c>
      <c r="G117">
        <v>99.45</v>
      </c>
      <c r="H117">
        <v>98.25</v>
      </c>
      <c r="I117">
        <v>96.95</v>
      </c>
      <c r="K117">
        <f t="shared" si="15"/>
        <v>-9.2879924664704908E-3</v>
      </c>
      <c r="L117">
        <f t="shared" si="16"/>
        <v>-3.6714130271594744E-3</v>
      </c>
      <c r="M117">
        <f t="shared" si="17"/>
        <v>-6.5146810211936419E-3</v>
      </c>
      <c r="N117">
        <f t="shared" si="18"/>
        <v>-1.0172940856973615E-3</v>
      </c>
      <c r="Q117" s="66" t="str">
        <f>Q108</f>
        <v>FR0064&amp;FR0072</v>
      </c>
      <c r="R117" s="66">
        <f>(VaR!U108-VaR!Z108*VaR!V108)</f>
        <v>8.4272684166271129E-3</v>
      </c>
      <c r="S117" s="66">
        <f>(U108-Y108*V108)</f>
        <v>4.1203377293266034E-3</v>
      </c>
      <c r="T117" s="66">
        <f>(U108-AA108*V108)</f>
        <v>2.63973212585197E-3</v>
      </c>
      <c r="AB117">
        <f t="shared" si="10"/>
        <v>0</v>
      </c>
      <c r="AC117">
        <f t="shared" si="11"/>
        <v>0</v>
      </c>
      <c r="AD117">
        <f t="shared" si="12"/>
        <v>0</v>
      </c>
      <c r="AE117">
        <f t="shared" si="13"/>
        <v>0</v>
      </c>
      <c r="AF117">
        <f t="shared" si="14"/>
        <v>0</v>
      </c>
      <c r="AG117">
        <f t="shared" si="19"/>
        <v>0</v>
      </c>
    </row>
    <row r="118" spans="1:33" x14ac:dyDescent="0.3">
      <c r="A118" s="17">
        <v>45460</v>
      </c>
      <c r="B118">
        <v>98.05</v>
      </c>
      <c r="C118">
        <v>96.45</v>
      </c>
      <c r="D118">
        <v>109.75</v>
      </c>
      <c r="E118">
        <v>108.75</v>
      </c>
      <c r="F118">
        <v>100.45</v>
      </c>
      <c r="G118">
        <v>99.45</v>
      </c>
      <c r="H118">
        <v>98.25</v>
      </c>
      <c r="I118">
        <v>96.95</v>
      </c>
      <c r="K118">
        <f t="shared" si="15"/>
        <v>0</v>
      </c>
      <c r="L118">
        <f t="shared" si="16"/>
        <v>0</v>
      </c>
      <c r="M118">
        <f t="shared" si="17"/>
        <v>0</v>
      </c>
      <c r="N118">
        <f t="shared" si="18"/>
        <v>0</v>
      </c>
      <c r="Q118" s="66" t="str">
        <f t="shared" ref="Q118:Q122" si="23">Q109</f>
        <v>FR0064&amp;FR0097</v>
      </c>
      <c r="R118" s="66">
        <f>(VaR!U109-VaR!Z109*VaR!V109)</f>
        <v>1.3062878719078058E-2</v>
      </c>
      <c r="S118" s="66">
        <f t="shared" ref="S118:S122" si="24">(U109-Y109*V109)</f>
        <v>5.2635997532628808E-3</v>
      </c>
      <c r="T118" s="66">
        <f t="shared" ref="T118:T122" si="25">(U109-AA109*V109)</f>
        <v>2.8132555255376717E-3</v>
      </c>
      <c r="AB118">
        <f t="shared" si="10"/>
        <v>0</v>
      </c>
      <c r="AC118">
        <f t="shared" si="11"/>
        <v>0</v>
      </c>
      <c r="AD118">
        <f t="shared" si="12"/>
        <v>0</v>
      </c>
      <c r="AE118">
        <f t="shared" si="13"/>
        <v>0</v>
      </c>
      <c r="AF118">
        <f t="shared" si="14"/>
        <v>0</v>
      </c>
      <c r="AG118">
        <f t="shared" si="19"/>
        <v>0</v>
      </c>
    </row>
    <row r="119" spans="1:33" x14ac:dyDescent="0.3">
      <c r="A119" s="17">
        <v>45461</v>
      </c>
      <c r="B119">
        <v>98.05</v>
      </c>
      <c r="C119">
        <v>96.45</v>
      </c>
      <c r="D119">
        <v>109.75</v>
      </c>
      <c r="E119">
        <v>108.75</v>
      </c>
      <c r="F119">
        <v>100.45</v>
      </c>
      <c r="G119">
        <v>99.45</v>
      </c>
      <c r="H119">
        <v>98.25</v>
      </c>
      <c r="I119">
        <v>96.95</v>
      </c>
      <c r="K119">
        <f t="shared" si="15"/>
        <v>0</v>
      </c>
      <c r="L119">
        <f t="shared" si="16"/>
        <v>0</v>
      </c>
      <c r="M119">
        <f t="shared" si="17"/>
        <v>0</v>
      </c>
      <c r="N119">
        <f t="shared" si="18"/>
        <v>0</v>
      </c>
      <c r="Q119" s="66" t="str">
        <f t="shared" si="23"/>
        <v>FR0064&amp;FR00102</v>
      </c>
      <c r="R119" s="66">
        <f>(VaR!U110-VaR!Z110*VaR!V110)</f>
        <v>1.2451080208041683E-2</v>
      </c>
      <c r="S119" s="66">
        <f t="shared" si="24"/>
        <v>3.5054175637872615E-3</v>
      </c>
      <c r="T119" s="66">
        <f t="shared" si="25"/>
        <v>1.0969012753308191E-3</v>
      </c>
      <c r="AB119">
        <f t="shared" si="10"/>
        <v>-3.065772632147282E-3</v>
      </c>
      <c r="AC119">
        <f t="shared" si="11"/>
        <v>9.6311741493419647E-4</v>
      </c>
      <c r="AD119">
        <f t="shared" si="12"/>
        <v>-7.1226369614779345E-3</v>
      </c>
      <c r="AE119">
        <f t="shared" si="13"/>
        <v>-1.954701408059267E-3</v>
      </c>
      <c r="AF119">
        <f t="shared" si="14"/>
        <v>-5.8172994010477546E-3</v>
      </c>
      <c r="AG119">
        <f t="shared" si="19"/>
        <v>-2.4300552746748714E-4</v>
      </c>
    </row>
    <row r="120" spans="1:33" x14ac:dyDescent="0.3">
      <c r="A120" s="17">
        <v>45462</v>
      </c>
      <c r="B120">
        <v>97.8</v>
      </c>
      <c r="C120">
        <v>96.8</v>
      </c>
      <c r="D120">
        <v>109.35</v>
      </c>
      <c r="E120">
        <v>108.35</v>
      </c>
      <c r="F120">
        <v>100.5</v>
      </c>
      <c r="G120">
        <v>99.5</v>
      </c>
      <c r="H120">
        <v>97.35</v>
      </c>
      <c r="I120">
        <v>96.35</v>
      </c>
      <c r="K120">
        <f t="shared" si="15"/>
        <v>3.6222549307931688E-3</v>
      </c>
      <c r="L120">
        <f t="shared" si="16"/>
        <v>-3.6849419864255061E-3</v>
      </c>
      <c r="M120">
        <f t="shared" si="17"/>
        <v>5.0263886456587855E-4</v>
      </c>
      <c r="N120">
        <f t="shared" si="18"/>
        <v>-9.2025189311620067E-3</v>
      </c>
      <c r="Q120" s="66" t="str">
        <f t="shared" si="23"/>
        <v>FR0072&amp;FR0097</v>
      </c>
      <c r="R120" s="66">
        <f>(VaR!U111-VaR!Z111*VaR!V111)</f>
        <v>1.0364618648026552E-2</v>
      </c>
      <c r="S120" s="66">
        <f t="shared" si="24"/>
        <v>4.3607506705135692E-3</v>
      </c>
      <c r="T120" s="66">
        <f t="shared" si="25"/>
        <v>2.4553338142361087E-3</v>
      </c>
      <c r="AB120">
        <f t="shared" si="10"/>
        <v>7.1293641426582429E-4</v>
      </c>
      <c r="AC120">
        <f t="shared" si="11"/>
        <v>-2.2890794388709599E-4</v>
      </c>
      <c r="AD120">
        <f t="shared" si="12"/>
        <v>1.0384490715648295E-3</v>
      </c>
      <c r="AE120">
        <f t="shared" si="13"/>
        <v>5.4134339422189082E-4</v>
      </c>
      <c r="AF120">
        <f t="shared" si="14"/>
        <v>1.1610118881657295E-3</v>
      </c>
      <c r="AG120">
        <f t="shared" si="19"/>
        <v>1.1829055932590933E-4</v>
      </c>
    </row>
    <row r="121" spans="1:33" x14ac:dyDescent="0.3">
      <c r="A121" s="17">
        <v>45463</v>
      </c>
      <c r="B121">
        <v>97.75</v>
      </c>
      <c r="C121">
        <v>96.65</v>
      </c>
      <c r="D121">
        <v>109.95</v>
      </c>
      <c r="E121">
        <v>108.45</v>
      </c>
      <c r="F121">
        <v>100.6</v>
      </c>
      <c r="G121">
        <v>99.5</v>
      </c>
      <c r="H121">
        <v>97.5</v>
      </c>
      <c r="I121">
        <v>96.4</v>
      </c>
      <c r="K121">
        <f t="shared" si="15"/>
        <v>-1.5507886281913815E-3</v>
      </c>
      <c r="L121">
        <f t="shared" si="16"/>
        <v>9.2250929051537051E-4</v>
      </c>
      <c r="M121">
        <f t="shared" si="17"/>
        <v>0</v>
      </c>
      <c r="N121">
        <f t="shared" si="18"/>
        <v>1.5396461855928362E-3</v>
      </c>
      <c r="Q121" s="66" t="str">
        <f t="shared" si="23"/>
        <v>FR0072&amp;FR00102</v>
      </c>
      <c r="R121" s="66">
        <f>(VaR!U112-VaR!Z112*VaR!V112)</f>
        <v>8.3791162708324231E-3</v>
      </c>
      <c r="S121" s="66">
        <f t="shared" si="24"/>
        <v>3.8705998232240685E-3</v>
      </c>
      <c r="T121" s="66">
        <f t="shared" si="25"/>
        <v>2.3446909252460759E-3</v>
      </c>
      <c r="AB121">
        <f t="shared" si="10"/>
        <v>1.5713479841054103E-3</v>
      </c>
      <c r="AC121">
        <f t="shared" si="11"/>
        <v>-2.9000427326736564E-3</v>
      </c>
      <c r="AD121">
        <f t="shared" si="12"/>
        <v>-2.426748659462337E-3</v>
      </c>
      <c r="AE121">
        <f t="shared" si="13"/>
        <v>-8.5330828389476913E-4</v>
      </c>
      <c r="AF121">
        <f t="shared" si="14"/>
        <v>-5.4180281806264408E-4</v>
      </c>
      <c r="AG121">
        <f t="shared" si="19"/>
        <v>-3.9950123470584558E-3</v>
      </c>
    </row>
    <row r="122" spans="1:33" x14ac:dyDescent="0.3">
      <c r="A122" s="17">
        <v>45464</v>
      </c>
      <c r="B122">
        <v>97.9</v>
      </c>
      <c r="C122">
        <v>97</v>
      </c>
      <c r="D122">
        <v>109.6</v>
      </c>
      <c r="E122">
        <v>108.6</v>
      </c>
      <c r="F122">
        <v>100.1</v>
      </c>
      <c r="G122">
        <v>99.1</v>
      </c>
      <c r="H122">
        <v>97.15</v>
      </c>
      <c r="I122">
        <v>96.15</v>
      </c>
      <c r="K122">
        <f t="shared" si="15"/>
        <v>3.614772849042951E-3</v>
      </c>
      <c r="L122">
        <f t="shared" si="16"/>
        <v>1.3821702269516739E-3</v>
      </c>
      <c r="M122">
        <f t="shared" si="17"/>
        <v>-4.0282028286048868E-3</v>
      </c>
      <c r="N122">
        <f t="shared" si="18"/>
        <v>-3.5962021803523196E-3</v>
      </c>
      <c r="Q122" s="66" t="str">
        <f t="shared" si="23"/>
        <v>FR0097&amp;FR00102</v>
      </c>
      <c r="R122" s="66">
        <f>(VaR!U113-VaR!Z113*VaR!V113)</f>
        <v>1.4246405025259725E-2</v>
      </c>
      <c r="S122" s="66">
        <f t="shared" si="24"/>
        <v>5.6827806382945241E-3</v>
      </c>
      <c r="T122" s="66">
        <f t="shared" si="25"/>
        <v>3.0050887691846113E-3</v>
      </c>
      <c r="U122" s="1"/>
      <c r="AB122">
        <f t="shared" si="10"/>
        <v>-6.4015911613178557E-4</v>
      </c>
      <c r="AC122">
        <f t="shared" si="11"/>
        <v>1.7667039816986921E-3</v>
      </c>
      <c r="AD122">
        <f t="shared" si="12"/>
        <v>-8.4983302138705134E-4</v>
      </c>
      <c r="AE122">
        <f t="shared" si="13"/>
        <v>7.7079260225117868E-4</v>
      </c>
      <c r="AF122">
        <f t="shared" si="14"/>
        <v>-4.8149217870333536E-4</v>
      </c>
      <c r="AG122">
        <f t="shared" si="19"/>
        <v>2.2864011280721093E-3</v>
      </c>
    </row>
    <row r="123" spans="1:33" x14ac:dyDescent="0.3">
      <c r="A123" s="17">
        <v>45467</v>
      </c>
      <c r="B123">
        <v>97.85</v>
      </c>
      <c r="C123">
        <v>96.75</v>
      </c>
      <c r="D123">
        <v>109.55</v>
      </c>
      <c r="E123">
        <v>108.55</v>
      </c>
      <c r="F123">
        <v>100.35</v>
      </c>
      <c r="G123">
        <v>99.35</v>
      </c>
      <c r="H123">
        <v>97.1</v>
      </c>
      <c r="I123">
        <v>96</v>
      </c>
      <c r="K123">
        <f t="shared" si="15"/>
        <v>-2.5806465934916254E-3</v>
      </c>
      <c r="L123">
        <f t="shared" si="16"/>
        <v>-4.6051117553424034E-4</v>
      </c>
      <c r="M123">
        <f t="shared" si="17"/>
        <v>2.5195276618835264E-3</v>
      </c>
      <c r="N123">
        <f t="shared" si="18"/>
        <v>-5.148005261700247E-4</v>
      </c>
      <c r="AB123">
        <f t="shared" si="10"/>
        <v>-7.1229393325331829E-4</v>
      </c>
      <c r="AC123">
        <f t="shared" si="11"/>
        <v>1.9428853947219262E-3</v>
      </c>
      <c r="AD123">
        <f t="shared" si="12"/>
        <v>2.8357886717732764E-3</v>
      </c>
      <c r="AE123">
        <f t="shared" si="13"/>
        <v>2.9009358215597528E-4</v>
      </c>
      <c r="AF123">
        <f t="shared" si="14"/>
        <v>6.2671592035991265E-4</v>
      </c>
      <c r="AG123">
        <f t="shared" si="19"/>
        <v>2.0935592376187758E-3</v>
      </c>
    </row>
    <row r="124" spans="1:33" x14ac:dyDescent="0.3">
      <c r="A124" s="17">
        <v>45468</v>
      </c>
      <c r="B124">
        <v>97.9</v>
      </c>
      <c r="C124">
        <v>96.9</v>
      </c>
      <c r="D124">
        <v>109.55</v>
      </c>
      <c r="E124">
        <v>108.45</v>
      </c>
      <c r="F124">
        <v>100.55</v>
      </c>
      <c r="G124">
        <v>99.55</v>
      </c>
      <c r="H124">
        <v>97.4</v>
      </c>
      <c r="I124">
        <v>96.4</v>
      </c>
      <c r="K124">
        <f t="shared" si="15"/>
        <v>1.5491869868293187E-3</v>
      </c>
      <c r="L124">
        <f t="shared" si="16"/>
        <v>-9.2165905141746373E-4</v>
      </c>
      <c r="M124">
        <f t="shared" si="17"/>
        <v>2.0110615123794372E-3</v>
      </c>
      <c r="N124">
        <f t="shared" si="18"/>
        <v>3.0848353512103162E-3</v>
      </c>
      <c r="Q124" s="62" t="s">
        <v>0</v>
      </c>
      <c r="R124" s="61" t="s">
        <v>83</v>
      </c>
      <c r="S124" s="63" t="s">
        <v>84</v>
      </c>
      <c r="T124" s="64" t="s">
        <v>0</v>
      </c>
      <c r="U124" s="64" t="s">
        <v>83</v>
      </c>
      <c r="V124" s="64" t="s">
        <v>84</v>
      </c>
      <c r="AB124">
        <f t="shared" si="10"/>
        <v>-6.6963150457290121E-4</v>
      </c>
      <c r="AC124">
        <f t="shared" si="11"/>
        <v>-5.5233065797668287E-4</v>
      </c>
      <c r="AD124">
        <f t="shared" si="12"/>
        <v>1.6236749320606969E-3</v>
      </c>
      <c r="AE124">
        <f t="shared" si="13"/>
        <v>-9.5660353196924165E-4</v>
      </c>
      <c r="AF124">
        <f t="shared" si="14"/>
        <v>2.8725549855265222E-5</v>
      </c>
      <c r="AG124">
        <f t="shared" si="19"/>
        <v>-8.0957953979109479E-4</v>
      </c>
    </row>
    <row r="125" spans="1:33" x14ac:dyDescent="0.3">
      <c r="A125" s="17">
        <v>45469</v>
      </c>
      <c r="B125">
        <v>98.1</v>
      </c>
      <c r="C125">
        <v>97.1</v>
      </c>
      <c r="D125">
        <v>109.55</v>
      </c>
      <c r="E125">
        <v>108.35</v>
      </c>
      <c r="F125">
        <v>100.35</v>
      </c>
      <c r="G125">
        <v>99.45</v>
      </c>
      <c r="H125">
        <v>97.55</v>
      </c>
      <c r="I125">
        <v>96.65</v>
      </c>
      <c r="K125">
        <f t="shared" si="15"/>
        <v>2.0618564005585559E-3</v>
      </c>
      <c r="L125">
        <f t="shared" si="16"/>
        <v>-9.2250929051543524E-4</v>
      </c>
      <c r="M125">
        <f t="shared" si="17"/>
        <v>-1.0050252102240388E-3</v>
      </c>
      <c r="N125">
        <f t="shared" si="18"/>
        <v>1.5388564206307272E-3</v>
      </c>
      <c r="Q125" s="52" t="s">
        <v>52</v>
      </c>
      <c r="R125" s="6">
        <v>1240.2239999999999</v>
      </c>
      <c r="S125" s="21">
        <v>0</v>
      </c>
      <c r="T125" s="6" t="s">
        <v>56</v>
      </c>
      <c r="U125" s="6">
        <v>1086.5</v>
      </c>
      <c r="V125" s="6">
        <v>0</v>
      </c>
      <c r="AB125">
        <f t="shared" si="10"/>
        <v>-4.6610655145149318E-4</v>
      </c>
      <c r="AC125">
        <f t="shared" si="11"/>
        <v>-9.3356538441321591E-4</v>
      </c>
      <c r="AD125">
        <f t="shared" si="12"/>
        <v>-9.4283757848260055E-4</v>
      </c>
      <c r="AE125">
        <f t="shared" si="13"/>
        <v>-6.8653698978045287E-4</v>
      </c>
      <c r="AF125">
        <f t="shared" si="14"/>
        <v>-6.7956690250729572E-4</v>
      </c>
      <c r="AG125">
        <f t="shared" si="19"/>
        <v>-1.0075425341480211E-3</v>
      </c>
    </row>
    <row r="126" spans="1:33" x14ac:dyDescent="0.3">
      <c r="A126" s="17">
        <v>45470</v>
      </c>
      <c r="B126">
        <v>98.05</v>
      </c>
      <c r="C126">
        <v>97.05</v>
      </c>
      <c r="D126">
        <v>109.4</v>
      </c>
      <c r="E126">
        <v>108.3</v>
      </c>
      <c r="F126">
        <v>100.45</v>
      </c>
      <c r="G126">
        <v>99.35</v>
      </c>
      <c r="H126">
        <v>97.45</v>
      </c>
      <c r="I126">
        <v>96.45</v>
      </c>
      <c r="K126">
        <f t="shared" si="15"/>
        <v>-5.1506568225991186E-4</v>
      </c>
      <c r="L126">
        <f t="shared" si="16"/>
        <v>-4.615739754231516E-4</v>
      </c>
      <c r="M126">
        <f t="shared" si="17"/>
        <v>-1.0060363021554583E-3</v>
      </c>
      <c r="N126">
        <f t="shared" si="18"/>
        <v>-1.025641115550397E-3</v>
      </c>
      <c r="Q126" s="52" t="s">
        <v>3</v>
      </c>
      <c r="R126" s="6">
        <v>358.45069999999998</v>
      </c>
      <c r="S126" s="21">
        <v>0</v>
      </c>
      <c r="T126" s="6" t="s">
        <v>57</v>
      </c>
      <c r="U126" s="6">
        <v>3348.8310000000001</v>
      </c>
      <c r="V126" s="6">
        <v>0</v>
      </c>
      <c r="AB126">
        <f t="shared" si="10"/>
        <v>3.4852154885966786E-4</v>
      </c>
      <c r="AC126">
        <f t="shared" si="11"/>
        <v>4.4592712350436893E-3</v>
      </c>
      <c r="AD126">
        <f t="shared" si="12"/>
        <v>4.099000317782554E-3</v>
      </c>
      <c r="AE126">
        <f t="shared" si="13"/>
        <v>1.8672661558860415E-3</v>
      </c>
      <c r="AF126">
        <f t="shared" si="14"/>
        <v>1.5830693965558965E-3</v>
      </c>
      <c r="AG126">
        <f t="shared" si="19"/>
        <v>4.4867194708634855E-3</v>
      </c>
    </row>
    <row r="127" spans="1:33" x14ac:dyDescent="0.3">
      <c r="A127" s="17">
        <v>45471</v>
      </c>
      <c r="B127">
        <v>98.45</v>
      </c>
      <c r="C127">
        <v>97.45</v>
      </c>
      <c r="D127">
        <v>109.7</v>
      </c>
      <c r="E127">
        <v>108.3</v>
      </c>
      <c r="F127">
        <v>100.8</v>
      </c>
      <c r="G127">
        <v>99.8</v>
      </c>
      <c r="H127">
        <v>97.85</v>
      </c>
      <c r="I127">
        <v>96.75</v>
      </c>
      <c r="K127">
        <f t="shared" si="15"/>
        <v>4.1131163385506892E-3</v>
      </c>
      <c r="L127">
        <f t="shared" si="16"/>
        <v>0</v>
      </c>
      <c r="M127">
        <f t="shared" si="17"/>
        <v>4.5192143195924789E-3</v>
      </c>
      <c r="N127">
        <f t="shared" si="18"/>
        <v>4.0962678885153548E-3</v>
      </c>
      <c r="Q127" s="52" t="s">
        <v>53</v>
      </c>
      <c r="R127" s="6">
        <v>1160.038</v>
      </c>
      <c r="S127" s="21">
        <v>0</v>
      </c>
      <c r="T127" s="6" t="s">
        <v>58</v>
      </c>
      <c r="U127" s="6">
        <v>820.37950000000001</v>
      </c>
      <c r="V127" s="6">
        <v>0</v>
      </c>
      <c r="AB127">
        <f t="shared" si="10"/>
        <v>4.9697340007954097E-3</v>
      </c>
      <c r="AC127">
        <f t="shared" si="11"/>
        <v>-1.0060766468274526E-3</v>
      </c>
      <c r="AD127">
        <f t="shared" si="12"/>
        <v>6.8928880861272867E-4</v>
      </c>
      <c r="AE127">
        <f t="shared" si="13"/>
        <v>2.8278673019272735E-3</v>
      </c>
      <c r="AF127">
        <f t="shared" si="14"/>
        <v>3.7844538945616289E-3</v>
      </c>
      <c r="AG127">
        <f t="shared" si="19"/>
        <v>-8.4700634204791969E-4</v>
      </c>
    </row>
    <row r="128" spans="1:33" x14ac:dyDescent="0.3">
      <c r="A128" s="17">
        <v>45474</v>
      </c>
      <c r="B128">
        <v>98.35</v>
      </c>
      <c r="C128">
        <v>97.35</v>
      </c>
      <c r="D128">
        <v>110.1</v>
      </c>
      <c r="E128">
        <v>108.9</v>
      </c>
      <c r="F128">
        <v>100.8</v>
      </c>
      <c r="G128">
        <v>99.7</v>
      </c>
      <c r="H128">
        <v>97.95</v>
      </c>
      <c r="I128">
        <v>96.85</v>
      </c>
      <c r="K128">
        <f t="shared" si="15"/>
        <v>-1.0266941353611642E-3</v>
      </c>
      <c r="L128">
        <f t="shared" si="16"/>
        <v>5.5248759319700275E-3</v>
      </c>
      <c r="M128">
        <f t="shared" si="17"/>
        <v>-1.00250634962559E-3</v>
      </c>
      <c r="N128">
        <f t="shared" si="18"/>
        <v>1.0214505484645682E-3</v>
      </c>
      <c r="Q128" s="52" t="s">
        <v>54</v>
      </c>
      <c r="R128" s="6">
        <v>4112.5690000000004</v>
      </c>
      <c r="S128" s="21">
        <v>0</v>
      </c>
      <c r="T128" s="6" t="s">
        <v>59</v>
      </c>
      <c r="U128" s="6">
        <v>507.55489999999998</v>
      </c>
      <c r="V128" s="6">
        <v>0</v>
      </c>
      <c r="AB128">
        <f t="shared" si="10"/>
        <v>-3.3680472887583262E-3</v>
      </c>
      <c r="AC128">
        <f t="shared" si="11"/>
        <v>4.2737155926563485E-4</v>
      </c>
      <c r="AD128">
        <f t="shared" si="12"/>
        <v>-1.7124647917394688E-3</v>
      </c>
      <c r="AE128">
        <f t="shared" si="13"/>
        <v>-1.9522380686160449E-3</v>
      </c>
      <c r="AF128">
        <f t="shared" si="14"/>
        <v>-3.0476323588242483E-3</v>
      </c>
      <c r="AG128">
        <f t="shared" si="19"/>
        <v>3.0582228981112169E-4</v>
      </c>
    </row>
    <row r="129" spans="1:33" x14ac:dyDescent="0.3">
      <c r="A129" s="17">
        <v>45475</v>
      </c>
      <c r="B129">
        <v>98.35</v>
      </c>
      <c r="C129">
        <v>97.35</v>
      </c>
      <c r="D129">
        <v>110</v>
      </c>
      <c r="E129">
        <v>108.5</v>
      </c>
      <c r="F129">
        <v>100.75</v>
      </c>
      <c r="G129">
        <v>99.75</v>
      </c>
      <c r="H129">
        <v>97.75</v>
      </c>
      <c r="I129">
        <v>96.65</v>
      </c>
      <c r="K129">
        <f t="shared" si="15"/>
        <v>0</v>
      </c>
      <c r="L129">
        <f t="shared" si="16"/>
        <v>-3.6798569584006197E-3</v>
      </c>
      <c r="M129">
        <f t="shared" si="17"/>
        <v>5.0137880218015447E-4</v>
      </c>
      <c r="N129">
        <f t="shared" si="18"/>
        <v>-2.0439455250746913E-3</v>
      </c>
      <c r="Q129" s="52" t="s">
        <v>55</v>
      </c>
      <c r="R129" s="6">
        <v>345.577</v>
      </c>
      <c r="S129" s="21">
        <v>0</v>
      </c>
      <c r="T129" s="6" t="s">
        <v>60</v>
      </c>
      <c r="U129" s="6">
        <v>1136.7339999999999</v>
      </c>
      <c r="V129" s="6">
        <v>0</v>
      </c>
      <c r="AB129">
        <f t="shared" si="10"/>
        <v>2.4401111869184191E-3</v>
      </c>
      <c r="AC129">
        <f t="shared" si="11"/>
        <v>-1.0066609500802113E-3</v>
      </c>
      <c r="AD129">
        <f t="shared" si="12"/>
        <v>-5.9534085201944781E-4</v>
      </c>
      <c r="AE129">
        <f t="shared" si="13"/>
        <v>1.2058671400180594E-3</v>
      </c>
      <c r="AF129">
        <f t="shared" si="14"/>
        <v>1.496334126888936E-3</v>
      </c>
      <c r="AG129">
        <f t="shared" si="19"/>
        <v>-9.6525735416299913E-4</v>
      </c>
    </row>
    <row r="130" spans="1:33" x14ac:dyDescent="0.3">
      <c r="A130" s="17">
        <v>45476</v>
      </c>
      <c r="B130">
        <v>98.25</v>
      </c>
      <c r="C130">
        <v>97.25</v>
      </c>
      <c r="D130">
        <v>109.9</v>
      </c>
      <c r="E130">
        <v>108.8</v>
      </c>
      <c r="F130">
        <v>100.65</v>
      </c>
      <c r="G130">
        <v>99.65</v>
      </c>
      <c r="H130">
        <v>97.7</v>
      </c>
      <c r="I130">
        <v>96.7</v>
      </c>
      <c r="K130">
        <f t="shared" si="15"/>
        <v>-1.0277493196529687E-3</v>
      </c>
      <c r="L130">
        <f t="shared" si="16"/>
        <v>2.7611614413280655E-3</v>
      </c>
      <c r="M130">
        <f t="shared" si="17"/>
        <v>-1.0030091111690679E-3</v>
      </c>
      <c r="N130">
        <f t="shared" si="18"/>
        <v>-5.1163981673806025E-4</v>
      </c>
      <c r="AB130">
        <f t="shared" si="10"/>
        <v>-7.9806986313076878E-4</v>
      </c>
      <c r="AC130">
        <f t="shared" si="11"/>
        <v>-3.5192932587166923E-4</v>
      </c>
      <c r="AD130">
        <f t="shared" si="12"/>
        <v>1.3686935883271355E-3</v>
      </c>
      <c r="AE130">
        <f t="shared" si="13"/>
        <v>-7.4697068062988536E-4</v>
      </c>
      <c r="AF130">
        <f t="shared" si="14"/>
        <v>2.872237921472886E-5</v>
      </c>
      <c r="AG130">
        <f t="shared" si="19"/>
        <v>-3.454554972577758E-4</v>
      </c>
    </row>
    <row r="131" spans="1:33" x14ac:dyDescent="0.3">
      <c r="A131" s="17">
        <v>45477</v>
      </c>
      <c r="B131">
        <v>98.3</v>
      </c>
      <c r="C131">
        <v>97.3</v>
      </c>
      <c r="D131">
        <v>109.9</v>
      </c>
      <c r="E131">
        <v>108.7</v>
      </c>
      <c r="F131">
        <v>100.6</v>
      </c>
      <c r="G131">
        <v>99.6</v>
      </c>
      <c r="H131">
        <v>97.85</v>
      </c>
      <c r="I131">
        <v>96.85</v>
      </c>
      <c r="K131">
        <f t="shared" si="15"/>
        <v>5.1400669340373158E-4</v>
      </c>
      <c r="L131">
        <f t="shared" si="16"/>
        <v>-9.1954029467843481E-4</v>
      </c>
      <c r="M131">
        <f t="shared" si="17"/>
        <v>-5.0188206825131372E-4</v>
      </c>
      <c r="N131">
        <f t="shared" si="18"/>
        <v>1.5341347933480189E-3</v>
      </c>
      <c r="AB131">
        <f t="shared" ref="AB131:AB139" si="26">K132*$S$108+L132*$T$108</f>
        <v>-3.77570731844127E-4</v>
      </c>
      <c r="AC131">
        <f t="shared" ref="AC131:AC139" si="27">K132*$S$109+M132*$T$109</f>
        <v>5.0363277488866805E-4</v>
      </c>
      <c r="AD131">
        <f t="shared" ref="AD131:AD139" si="28">K132*$S$110+N132*$T$110</f>
        <v>8.3317182579253029E-5</v>
      </c>
      <c r="AE131">
        <f t="shared" ref="AE131:AE194" si="29">L132*$S$111+M132*$T$111</f>
        <v>-6.2617211940063807E-5</v>
      </c>
      <c r="AF131">
        <f t="shared" ref="AF131:AF194" si="30">L132*$S$112+N132*$T$112</f>
        <v>-2.8227915103657563E-4</v>
      </c>
      <c r="AG131">
        <f t="shared" ref="AG131:AG139" si="31">M132*$S$113+N132*$T$113</f>
        <v>4.6332261795369869E-4</v>
      </c>
    </row>
    <row r="132" spans="1:33" x14ac:dyDescent="0.3">
      <c r="A132" s="17">
        <v>45478</v>
      </c>
      <c r="B132">
        <v>98.25</v>
      </c>
      <c r="C132">
        <v>97.35</v>
      </c>
      <c r="D132">
        <v>109.85</v>
      </c>
      <c r="E132">
        <v>108.65</v>
      </c>
      <c r="F132">
        <v>100.55</v>
      </c>
      <c r="G132">
        <v>99.65</v>
      </c>
      <c r="H132">
        <v>97.85</v>
      </c>
      <c r="I132">
        <v>96.85</v>
      </c>
      <c r="K132">
        <f t="shared" ref="K132:K195" si="32">LN(C132/C131)</f>
        <v>5.1374262624934283E-4</v>
      </c>
      <c r="L132">
        <f t="shared" ref="L132:L195" si="33">LN(E132/E131)</f>
        <v>-4.6008742472504764E-4</v>
      </c>
      <c r="M132">
        <f t="shared" ref="M132:M195" si="34">LN(G132/G131)</f>
        <v>5.0188206825118188E-4</v>
      </c>
      <c r="N132">
        <f t="shared" ref="N132:N195" si="35">LN(H132/H131)</f>
        <v>0</v>
      </c>
      <c r="AB132">
        <f t="shared" si="26"/>
        <v>1.3497221808215056E-3</v>
      </c>
      <c r="AC132">
        <f t="shared" si="27"/>
        <v>1.0065051970250232E-3</v>
      </c>
      <c r="AD132">
        <f t="shared" si="28"/>
        <v>4.436765602544435E-3</v>
      </c>
      <c r="AE132">
        <f t="shared" si="29"/>
        <v>1.2240150108438963E-3</v>
      </c>
      <c r="AF132">
        <f t="shared" si="30"/>
        <v>2.8162091551703285E-3</v>
      </c>
      <c r="AG132">
        <f t="shared" si="31"/>
        <v>1.3175377675076966E-3</v>
      </c>
    </row>
    <row r="133" spans="1:33" x14ac:dyDescent="0.3">
      <c r="A133" s="17">
        <v>45481</v>
      </c>
      <c r="B133">
        <v>98.55</v>
      </c>
      <c r="C133">
        <v>97.45</v>
      </c>
      <c r="D133">
        <v>110.3</v>
      </c>
      <c r="E133">
        <v>108.8</v>
      </c>
      <c r="F133">
        <v>100.75</v>
      </c>
      <c r="G133">
        <v>99.75</v>
      </c>
      <c r="H133">
        <v>98.35</v>
      </c>
      <c r="I133">
        <v>97.25</v>
      </c>
      <c r="K133">
        <f t="shared" si="32"/>
        <v>1.0266941353612971E-3</v>
      </c>
      <c r="L133">
        <f t="shared" si="33"/>
        <v>1.3796277194035591E-3</v>
      </c>
      <c r="M133">
        <f t="shared" si="34"/>
        <v>1.0030091111689445E-3</v>
      </c>
      <c r="N133">
        <f t="shared" si="35"/>
        <v>5.0968509929828487E-3</v>
      </c>
      <c r="Q133" s="60" t="s">
        <v>82</v>
      </c>
      <c r="R133" s="60">
        <v>0.01</v>
      </c>
      <c r="S133" s="68">
        <v>0.05</v>
      </c>
      <c r="T133" s="60">
        <v>0.1</v>
      </c>
      <c r="AB133">
        <f t="shared" si="26"/>
        <v>1.6809294309487199E-3</v>
      </c>
      <c r="AC133">
        <f t="shared" si="27"/>
        <v>0</v>
      </c>
      <c r="AD133">
        <f t="shared" si="28"/>
        <v>-6.4135789667940516E-3</v>
      </c>
      <c r="AE133">
        <f t="shared" si="29"/>
        <v>1.0777160012122697E-3</v>
      </c>
      <c r="AF133">
        <f t="shared" si="30"/>
        <v>-1.8316351982445263E-3</v>
      </c>
      <c r="AG133">
        <f t="shared" si="31"/>
        <v>-5.881353275467555E-4</v>
      </c>
    </row>
    <row r="134" spans="1:33" x14ac:dyDescent="0.3">
      <c r="A134" s="17">
        <v>45482</v>
      </c>
      <c r="B134">
        <v>98.35</v>
      </c>
      <c r="C134">
        <v>97.45</v>
      </c>
      <c r="D134">
        <v>110</v>
      </c>
      <c r="E134">
        <v>109</v>
      </c>
      <c r="F134">
        <v>100.75</v>
      </c>
      <c r="G134">
        <v>99.75</v>
      </c>
      <c r="H134">
        <v>97.6</v>
      </c>
      <c r="I134">
        <v>96.5</v>
      </c>
      <c r="K134">
        <f t="shared" si="32"/>
        <v>0</v>
      </c>
      <c r="L134">
        <f t="shared" si="33"/>
        <v>1.836547807301552E-3</v>
      </c>
      <c r="M134">
        <f t="shared" si="34"/>
        <v>0</v>
      </c>
      <c r="N134">
        <f t="shared" si="35"/>
        <v>-7.6550514160213133E-3</v>
      </c>
      <c r="Q134" s="59" t="s">
        <v>55</v>
      </c>
      <c r="R134">
        <v>8.4272684166271129E-3</v>
      </c>
      <c r="S134" s="69">
        <v>4.1203377293266034E-3</v>
      </c>
      <c r="T134">
        <v>2.63973212585197E-3</v>
      </c>
      <c r="AB134">
        <f t="shared" si="26"/>
        <v>-2.1016445925245088E-3</v>
      </c>
      <c r="AC134">
        <f t="shared" si="27"/>
        <v>-2.1390037751631073E-3</v>
      </c>
      <c r="AD134">
        <f t="shared" si="28"/>
        <v>0</v>
      </c>
      <c r="AE134">
        <f t="shared" si="29"/>
        <v>-2.3843027763921186E-3</v>
      </c>
      <c r="AF134">
        <f t="shared" si="30"/>
        <v>-1.4088036590845837E-3</v>
      </c>
      <c r="AG134">
        <f t="shared" si="31"/>
        <v>-2.3166142568125932E-3</v>
      </c>
    </row>
    <row r="135" spans="1:33" x14ac:dyDescent="0.3">
      <c r="A135" s="17">
        <v>45483</v>
      </c>
      <c r="B135">
        <v>98.35</v>
      </c>
      <c r="C135">
        <v>97.45</v>
      </c>
      <c r="D135">
        <v>109.75</v>
      </c>
      <c r="E135">
        <v>108.75</v>
      </c>
      <c r="F135">
        <v>100.5</v>
      </c>
      <c r="G135">
        <v>99.5</v>
      </c>
      <c r="H135">
        <v>97.6</v>
      </c>
      <c r="I135">
        <v>96.5</v>
      </c>
      <c r="K135">
        <f t="shared" si="32"/>
        <v>0</v>
      </c>
      <c r="L135">
        <f t="shared" si="33"/>
        <v>-2.296212260350268E-3</v>
      </c>
      <c r="M135">
        <f t="shared" si="34"/>
        <v>-2.5094116054258072E-3</v>
      </c>
      <c r="N135">
        <f t="shared" si="35"/>
        <v>0</v>
      </c>
      <c r="Q135" s="59" t="s">
        <v>56</v>
      </c>
      <c r="R135">
        <v>1.3062878719078058E-2</v>
      </c>
      <c r="S135" s="69">
        <v>5.2635997532628808E-3</v>
      </c>
      <c r="T135">
        <v>2.8132555255376717E-3</v>
      </c>
      <c r="AB135">
        <f t="shared" si="26"/>
        <v>1.2615657654035488E-3</v>
      </c>
      <c r="AC135">
        <f t="shared" si="27"/>
        <v>2.1390037751630223E-3</v>
      </c>
      <c r="AD135">
        <f t="shared" si="28"/>
        <v>2.1433194284892197E-3</v>
      </c>
      <c r="AE135">
        <f t="shared" si="29"/>
        <v>1.8456921853710708E-3</v>
      </c>
      <c r="AF135">
        <f t="shared" si="30"/>
        <v>1.8343285162870462E-3</v>
      </c>
      <c r="AG135">
        <f t="shared" si="31"/>
        <v>2.5131600357977319E-3</v>
      </c>
    </row>
    <row r="136" spans="1:33" x14ac:dyDescent="0.3">
      <c r="A136" s="17">
        <v>45484</v>
      </c>
      <c r="B136">
        <v>98.35</v>
      </c>
      <c r="C136">
        <v>97.45</v>
      </c>
      <c r="D136">
        <v>110.2</v>
      </c>
      <c r="E136">
        <v>108.9</v>
      </c>
      <c r="F136">
        <v>100.75</v>
      </c>
      <c r="G136">
        <v>99.75</v>
      </c>
      <c r="H136">
        <v>97.85</v>
      </c>
      <c r="I136">
        <v>96.75</v>
      </c>
      <c r="K136">
        <f t="shared" si="32"/>
        <v>0</v>
      </c>
      <c r="L136">
        <f t="shared" si="33"/>
        <v>1.3783599701213596E-3</v>
      </c>
      <c r="M136">
        <f t="shared" si="34"/>
        <v>2.509411605425707E-3</v>
      </c>
      <c r="N136">
        <f t="shared" si="35"/>
        <v>2.5582004230383479E-3</v>
      </c>
      <c r="Q136" s="59" t="s">
        <v>57</v>
      </c>
      <c r="R136">
        <v>1.2451080208041683E-2</v>
      </c>
      <c r="S136" s="69">
        <v>3.5054175637872615E-3</v>
      </c>
      <c r="T136">
        <v>1.0969012753308191E-3</v>
      </c>
      <c r="AB136">
        <f t="shared" si="26"/>
        <v>3.7742973810451718E-3</v>
      </c>
      <c r="AC136">
        <f t="shared" si="27"/>
        <v>3.4112804192602169E-3</v>
      </c>
      <c r="AD136">
        <f t="shared" si="28"/>
        <v>2.5647666182268486E-3</v>
      </c>
      <c r="AE136">
        <f t="shared" si="29"/>
        <v>4.0734282353826262E-3</v>
      </c>
      <c r="AF136">
        <f t="shared" si="30"/>
        <v>3.7131005129436212E-3</v>
      </c>
      <c r="AG136">
        <f t="shared" si="31"/>
        <v>3.9297265351424431E-3</v>
      </c>
    </row>
    <row r="137" spans="1:33" x14ac:dyDescent="0.3">
      <c r="A137" s="17">
        <v>45485</v>
      </c>
      <c r="B137">
        <v>98.35</v>
      </c>
      <c r="C137">
        <v>97.45</v>
      </c>
      <c r="D137">
        <v>110.25</v>
      </c>
      <c r="E137">
        <v>109.35</v>
      </c>
      <c r="F137">
        <v>101.05</v>
      </c>
      <c r="G137">
        <v>100.15</v>
      </c>
      <c r="H137">
        <v>98.15</v>
      </c>
      <c r="I137">
        <v>97.05</v>
      </c>
      <c r="K137">
        <f t="shared" si="32"/>
        <v>0</v>
      </c>
      <c r="L137">
        <f t="shared" si="33"/>
        <v>4.1237171838619351E-3</v>
      </c>
      <c r="M137">
        <f t="shared" si="34"/>
        <v>4.0020063418544664E-3</v>
      </c>
      <c r="N137">
        <f t="shared" si="35"/>
        <v>3.0612268803849726E-3</v>
      </c>
      <c r="Q137" s="59" t="s">
        <v>58</v>
      </c>
      <c r="R137">
        <v>1.0364618648026552E-2</v>
      </c>
      <c r="S137" s="69">
        <v>4.3607506705135692E-3</v>
      </c>
      <c r="T137">
        <v>2.4553338142361087E-3</v>
      </c>
      <c r="AB137">
        <f t="shared" si="26"/>
        <v>-1.2563705718726115E-3</v>
      </c>
      <c r="AC137">
        <f t="shared" si="27"/>
        <v>-3.4112804192602034E-3</v>
      </c>
      <c r="AD137">
        <f t="shared" si="28"/>
        <v>8.5318042777807104E-4</v>
      </c>
      <c r="AE137">
        <f t="shared" si="29"/>
        <v>-2.4590772922885636E-3</v>
      </c>
      <c r="AF137">
        <f t="shared" si="30"/>
        <v>-4.4863759769173578E-4</v>
      </c>
      <c r="AG137">
        <f t="shared" si="31"/>
        <v>-3.6162953891555553E-3</v>
      </c>
    </row>
    <row r="138" spans="1:33" x14ac:dyDescent="0.3">
      <c r="A138" s="17">
        <v>45488</v>
      </c>
      <c r="B138">
        <v>98.35</v>
      </c>
      <c r="C138">
        <v>97.45</v>
      </c>
      <c r="D138">
        <v>110.2</v>
      </c>
      <c r="E138">
        <v>109.2</v>
      </c>
      <c r="F138">
        <v>100.75</v>
      </c>
      <c r="G138">
        <v>99.75</v>
      </c>
      <c r="H138">
        <v>98.25</v>
      </c>
      <c r="I138">
        <v>97.25</v>
      </c>
      <c r="K138">
        <f t="shared" si="32"/>
        <v>0</v>
      </c>
      <c r="L138">
        <f t="shared" si="33"/>
        <v>-1.3726838119721356E-3</v>
      </c>
      <c r="M138">
        <f t="shared" si="34"/>
        <v>-4.0020063418544508E-3</v>
      </c>
      <c r="N138">
        <f t="shared" si="35"/>
        <v>1.0183300269005506E-3</v>
      </c>
      <c r="Q138" s="59" t="s">
        <v>59</v>
      </c>
      <c r="R138">
        <v>8.3791162708324231E-3</v>
      </c>
      <c r="S138" s="69">
        <v>3.8705998232240685E-3</v>
      </c>
      <c r="T138">
        <v>2.3446909252460759E-3</v>
      </c>
      <c r="AB138">
        <f t="shared" si="26"/>
        <v>-9.6906716526567831E-4</v>
      </c>
      <c r="AC138">
        <f t="shared" si="27"/>
        <v>-6.5475149059744078E-4</v>
      </c>
      <c r="AD138">
        <f t="shared" si="28"/>
        <v>-1.5299199170452269E-3</v>
      </c>
      <c r="AE138">
        <f t="shared" si="29"/>
        <v>-7.4478527258056736E-4</v>
      </c>
      <c r="AF138">
        <f t="shared" si="30"/>
        <v>-1.1525771898487005E-3</v>
      </c>
      <c r="AG138">
        <f t="shared" si="31"/>
        <v>-5.8024490544418008E-4</v>
      </c>
    </row>
    <row r="139" spans="1:33" x14ac:dyDescent="0.3">
      <c r="A139" s="17">
        <v>45489</v>
      </c>
      <c r="B139">
        <v>98.3</v>
      </c>
      <c r="C139">
        <v>97.3</v>
      </c>
      <c r="D139">
        <v>110.2</v>
      </c>
      <c r="E139">
        <v>109.1</v>
      </c>
      <c r="F139">
        <v>100.7</v>
      </c>
      <c r="G139">
        <v>99.7</v>
      </c>
      <c r="H139">
        <v>98.1</v>
      </c>
      <c r="I139">
        <v>97</v>
      </c>
      <c r="K139">
        <f t="shared" si="32"/>
        <v>-1.5404367616104983E-3</v>
      </c>
      <c r="L139">
        <f t="shared" si="33"/>
        <v>-9.1617047177964075E-4</v>
      </c>
      <c r="M139">
        <f t="shared" si="34"/>
        <v>-5.013788021801137E-4</v>
      </c>
      <c r="N139">
        <f t="shared" si="35"/>
        <v>-1.5278841780532869E-3</v>
      </c>
      <c r="Q139" s="59" t="s">
        <v>60</v>
      </c>
      <c r="R139">
        <v>1.4246405025259725E-2</v>
      </c>
      <c r="S139" s="69">
        <v>5.6827806382945241E-3</v>
      </c>
      <c r="T139">
        <v>3.0050887691846113E-3</v>
      </c>
      <c r="AB139">
        <f t="shared" si="26"/>
        <v>2.3557646258513224E-3</v>
      </c>
      <c r="AC139">
        <f t="shared" si="27"/>
        <v>3.4415210285426504E-3</v>
      </c>
      <c r="AD139">
        <f t="shared" si="28"/>
        <v>3.0575027329162855E-3</v>
      </c>
      <c r="AE139">
        <f t="shared" si="29"/>
        <v>2.7910914992917003E-3</v>
      </c>
      <c r="AF139">
        <f t="shared" si="30"/>
        <v>2.5843399069949936E-3</v>
      </c>
      <c r="AG139">
        <f t="shared" si="31"/>
        <v>3.469737970471694E-3</v>
      </c>
    </row>
    <row r="140" spans="1:33" x14ac:dyDescent="0.3">
      <c r="A140" s="17">
        <v>45490</v>
      </c>
      <c r="B140">
        <v>98.6</v>
      </c>
      <c r="C140">
        <v>97.6</v>
      </c>
      <c r="D140">
        <v>110.35</v>
      </c>
      <c r="E140">
        <v>109.35</v>
      </c>
      <c r="F140">
        <v>101.05</v>
      </c>
      <c r="G140">
        <v>100.05</v>
      </c>
      <c r="H140">
        <v>98.4</v>
      </c>
      <c r="I140">
        <v>97.4</v>
      </c>
      <c r="K140">
        <f t="shared" si="32"/>
        <v>3.0785042270873733E-3</v>
      </c>
      <c r="L140">
        <f t="shared" si="33"/>
        <v>2.2888542837516132E-3</v>
      </c>
      <c r="M140">
        <f t="shared" si="34"/>
        <v>3.5043840619497332E-3</v>
      </c>
      <c r="N140">
        <f t="shared" si="35"/>
        <v>3.0534374868904698E-3</v>
      </c>
      <c r="AB140">
        <f t="shared" ref="AB140:AB194" si="36">K141*$S$108+L141*$T$108</f>
        <v>0</v>
      </c>
      <c r="AC140">
        <f t="shared" ref="AC140:AC194" si="37">K141*$S$109+M141*$T$109</f>
        <v>-4.2608976498296043E-4</v>
      </c>
      <c r="AD140">
        <f t="shared" ref="AD140:AD194" si="38">K141*$S$110+N141*$T$110</f>
        <v>8.5101389508460232E-4</v>
      </c>
      <c r="AE140">
        <f t="shared" si="29"/>
        <v>-2.0654027037409603E-4</v>
      </c>
      <c r="AF140">
        <f t="shared" si="30"/>
        <v>3.9255084740706745E-4</v>
      </c>
      <c r="AG140">
        <f t="shared" ref="AG140:AG195" si="39">M141*$S$113+N141*$T$113</f>
        <v>-3.8343047145372343E-4</v>
      </c>
    </row>
    <row r="141" spans="1:33" x14ac:dyDescent="0.3">
      <c r="A141" s="17">
        <v>45491</v>
      </c>
      <c r="B141">
        <v>98.6</v>
      </c>
      <c r="C141">
        <v>97.6</v>
      </c>
      <c r="D141">
        <v>110.45</v>
      </c>
      <c r="E141">
        <v>109.35</v>
      </c>
      <c r="F141">
        <v>101</v>
      </c>
      <c r="G141">
        <v>100</v>
      </c>
      <c r="H141">
        <v>98.5</v>
      </c>
      <c r="I141">
        <v>97.5</v>
      </c>
      <c r="K141">
        <f t="shared" si="32"/>
        <v>0</v>
      </c>
      <c r="L141">
        <f t="shared" si="33"/>
        <v>0</v>
      </c>
      <c r="M141">
        <f t="shared" si="34"/>
        <v>-4.9987504165104253E-4</v>
      </c>
      <c r="N141">
        <f t="shared" si="35"/>
        <v>1.0157441198354218E-3</v>
      </c>
      <c r="Q141" s="60" t="s">
        <v>82</v>
      </c>
      <c r="R141" s="61" t="s">
        <v>85</v>
      </c>
      <c r="S141" s="70" t="s">
        <v>86</v>
      </c>
      <c r="T141" s="61" t="s">
        <v>87</v>
      </c>
      <c r="AB141">
        <f t="shared" si="36"/>
        <v>7.9320326450665977E-4</v>
      </c>
      <c r="AC141">
        <f t="shared" si="37"/>
        <v>-1.7821301189619766E-3</v>
      </c>
      <c r="AD141">
        <f t="shared" si="38"/>
        <v>-1.7859967944939697E-3</v>
      </c>
      <c r="AE141">
        <f t="shared" si="29"/>
        <v>-2.9079997639307035E-4</v>
      </c>
      <c r="AF141">
        <f t="shared" si="30"/>
        <v>-2.2468386011814494E-4</v>
      </c>
      <c r="AG141">
        <f t="shared" si="39"/>
        <v>-2.0043473867693059E-3</v>
      </c>
    </row>
    <row r="142" spans="1:33" x14ac:dyDescent="0.3">
      <c r="A142" s="17">
        <v>45492</v>
      </c>
      <c r="B142">
        <v>98.45</v>
      </c>
      <c r="C142">
        <v>97.55</v>
      </c>
      <c r="D142">
        <v>110.45</v>
      </c>
      <c r="E142">
        <v>109.45</v>
      </c>
      <c r="F142">
        <v>100.7</v>
      </c>
      <c r="G142">
        <v>99.8</v>
      </c>
      <c r="H142">
        <v>98.3</v>
      </c>
      <c r="I142">
        <v>97.3</v>
      </c>
      <c r="K142">
        <f t="shared" si="32"/>
        <v>-5.1242634992652294E-4</v>
      </c>
      <c r="L142">
        <f t="shared" si="33"/>
        <v>9.140768460951449E-4</v>
      </c>
      <c r="M142">
        <f t="shared" si="34"/>
        <v>-2.0020026706730793E-3</v>
      </c>
      <c r="N142">
        <f t="shared" si="35"/>
        <v>-2.0325210249223578E-3</v>
      </c>
      <c r="Q142" s="59" t="s">
        <v>55</v>
      </c>
      <c r="R142" t="s">
        <v>88</v>
      </c>
      <c r="S142" s="67">
        <v>4.1203377293266034E-3</v>
      </c>
      <c r="T142" s="71">
        <f>S142*'Simulasi Obligasi'!D76</f>
        <v>721679.20569265343</v>
      </c>
      <c r="AB142">
        <f t="shared" si="36"/>
        <v>-1.6740120220183321E-3</v>
      </c>
      <c r="AC142">
        <f t="shared" si="37"/>
        <v>-3.4232678826197171E-3</v>
      </c>
      <c r="AD142">
        <f t="shared" si="38"/>
        <v>-3.4162049682679627E-3</v>
      </c>
      <c r="AE142">
        <f t="shared" si="29"/>
        <v>-2.732655883689393E-3</v>
      </c>
      <c r="AF142">
        <f t="shared" si="30"/>
        <v>-2.6979546317526613E-3</v>
      </c>
      <c r="AG142">
        <f t="shared" si="39"/>
        <v>-4.020787610360615E-3</v>
      </c>
    </row>
    <row r="143" spans="1:33" x14ac:dyDescent="0.3">
      <c r="A143" s="17">
        <v>45495</v>
      </c>
      <c r="B143">
        <v>98.45</v>
      </c>
      <c r="C143">
        <v>97.55</v>
      </c>
      <c r="D143">
        <v>110.25</v>
      </c>
      <c r="E143">
        <v>109.25</v>
      </c>
      <c r="F143">
        <v>100.3</v>
      </c>
      <c r="G143">
        <v>99.4</v>
      </c>
      <c r="H143">
        <v>97.9</v>
      </c>
      <c r="I143">
        <v>97</v>
      </c>
      <c r="K143">
        <f t="shared" si="32"/>
        <v>0</v>
      </c>
      <c r="L143">
        <f t="shared" si="33"/>
        <v>-1.8289899931724118E-3</v>
      </c>
      <c r="M143">
        <f t="shared" si="34"/>
        <v>-4.0160696548898313E-3</v>
      </c>
      <c r="N143">
        <f t="shared" si="35"/>
        <v>-4.0774776166560391E-3</v>
      </c>
      <c r="Q143" s="59" t="s">
        <v>56</v>
      </c>
      <c r="R143" t="s">
        <v>88</v>
      </c>
      <c r="S143" s="67">
        <v>5.2635997532628808E-3</v>
      </c>
      <c r="T143" s="71">
        <f>S143*'Simulasi Obligasi'!D77</f>
        <v>920699.81695863034</v>
      </c>
      <c r="AB143">
        <f t="shared" si="36"/>
        <v>0</v>
      </c>
      <c r="AC143">
        <f t="shared" si="37"/>
        <v>4.2866108879213271E-4</v>
      </c>
      <c r="AD143">
        <f t="shared" si="38"/>
        <v>1.2827097800395563E-3</v>
      </c>
      <c r="AE143">
        <f t="shared" si="29"/>
        <v>2.0778667889739637E-4</v>
      </c>
      <c r="AF143">
        <f t="shared" si="30"/>
        <v>5.9168106894635756E-4</v>
      </c>
      <c r="AG143">
        <f t="shared" si="39"/>
        <v>5.8188113633174019E-4</v>
      </c>
    </row>
    <row r="144" spans="1:33" x14ac:dyDescent="0.3">
      <c r="A144" s="17">
        <v>45496</v>
      </c>
      <c r="B144">
        <v>98.45</v>
      </c>
      <c r="C144">
        <v>97.55</v>
      </c>
      <c r="D144">
        <v>110.25</v>
      </c>
      <c r="E144">
        <v>109.25</v>
      </c>
      <c r="F144">
        <v>100.45</v>
      </c>
      <c r="G144">
        <v>99.45</v>
      </c>
      <c r="H144">
        <v>98.05</v>
      </c>
      <c r="I144">
        <v>96.75</v>
      </c>
      <c r="K144">
        <f t="shared" si="32"/>
        <v>0</v>
      </c>
      <c r="L144">
        <f t="shared" si="33"/>
        <v>0</v>
      </c>
      <c r="M144">
        <f t="shared" si="34"/>
        <v>5.0289163745277394E-4</v>
      </c>
      <c r="N144">
        <f t="shared" si="35"/>
        <v>1.5310031058905803E-3</v>
      </c>
      <c r="Q144" s="59" t="s">
        <v>57</v>
      </c>
      <c r="R144" t="s">
        <v>88</v>
      </c>
      <c r="S144" s="67">
        <v>3.5054175637872615E-3</v>
      </c>
      <c r="T144" s="71">
        <f>S144*'Simulasi Obligasi'!D78</f>
        <v>613175.42847624712</v>
      </c>
      <c r="AB144">
        <f t="shared" si="36"/>
        <v>-2.5167728540933555E-3</v>
      </c>
      <c r="AC144">
        <f t="shared" si="37"/>
        <v>-8.5753785612883234E-4</v>
      </c>
      <c r="AD144">
        <f t="shared" si="38"/>
        <v>-3.4249331605796306E-3</v>
      </c>
      <c r="AE144">
        <f t="shared" si="29"/>
        <v>-2.0292889975227061E-3</v>
      </c>
      <c r="AF144">
        <f t="shared" si="30"/>
        <v>-3.2669118952009021E-3</v>
      </c>
      <c r="AG144">
        <f t="shared" si="39"/>
        <v>-1.2428146154824851E-3</v>
      </c>
    </row>
    <row r="145" spans="1:33" x14ac:dyDescent="0.3">
      <c r="A145" s="17">
        <v>45497</v>
      </c>
      <c r="B145">
        <v>98.45</v>
      </c>
      <c r="C145">
        <v>97.55</v>
      </c>
      <c r="D145">
        <v>110.25</v>
      </c>
      <c r="E145">
        <v>108.95</v>
      </c>
      <c r="F145">
        <v>100.35</v>
      </c>
      <c r="G145">
        <v>99.35</v>
      </c>
      <c r="H145">
        <v>97.65</v>
      </c>
      <c r="I145">
        <v>96.65</v>
      </c>
      <c r="K145">
        <f t="shared" si="32"/>
        <v>0</v>
      </c>
      <c r="L145">
        <f t="shared" si="33"/>
        <v>-2.7497725850706635E-3</v>
      </c>
      <c r="M145">
        <f t="shared" si="34"/>
        <v>-1.0060363021554583E-3</v>
      </c>
      <c r="N145">
        <f t="shared" si="35"/>
        <v>-4.0878953196672079E-3</v>
      </c>
      <c r="Q145" s="59" t="s">
        <v>58</v>
      </c>
      <c r="R145" t="s">
        <v>88</v>
      </c>
      <c r="S145" s="67">
        <v>4.3607506705135692E-3</v>
      </c>
      <c r="T145" s="71">
        <f>S145*'Simulasi Obligasi'!D79</f>
        <v>762389.63399080327</v>
      </c>
      <c r="AB145">
        <f t="shared" si="36"/>
        <v>8.3969346980665677E-4</v>
      </c>
      <c r="AC145">
        <f t="shared" si="37"/>
        <v>0</v>
      </c>
      <c r="AD145">
        <f t="shared" si="38"/>
        <v>0</v>
      </c>
      <c r="AE145">
        <f t="shared" si="29"/>
        <v>5.3836352190783502E-4</v>
      </c>
      <c r="AF145">
        <f t="shared" si="30"/>
        <v>5.6287501558580165E-4</v>
      </c>
      <c r="AG145">
        <f t="shared" si="39"/>
        <v>0</v>
      </c>
    </row>
    <row r="146" spans="1:33" x14ac:dyDescent="0.3">
      <c r="A146" s="17">
        <v>45498</v>
      </c>
      <c r="B146">
        <v>98.45</v>
      </c>
      <c r="C146">
        <v>97.55</v>
      </c>
      <c r="D146">
        <v>110.15</v>
      </c>
      <c r="E146">
        <v>109.05</v>
      </c>
      <c r="F146">
        <v>100.35</v>
      </c>
      <c r="G146">
        <v>99.35</v>
      </c>
      <c r="H146">
        <v>97.65</v>
      </c>
      <c r="I146">
        <v>96.65</v>
      </c>
      <c r="K146">
        <f t="shared" si="32"/>
        <v>0</v>
      </c>
      <c r="L146">
        <f t="shared" si="33"/>
        <v>9.1743125700908341E-4</v>
      </c>
      <c r="M146">
        <f t="shared" si="34"/>
        <v>0</v>
      </c>
      <c r="N146">
        <f t="shared" si="35"/>
        <v>0</v>
      </c>
      <c r="Q146" s="59" t="s">
        <v>59</v>
      </c>
      <c r="R146" t="s">
        <v>88</v>
      </c>
      <c r="S146" s="67">
        <v>3.8705998232240685E-3</v>
      </c>
      <c r="T146" s="71">
        <f>S146*'Simulasi Obligasi'!D80</f>
        <v>676688.07034830435</v>
      </c>
      <c r="AB146">
        <f t="shared" si="36"/>
        <v>1.3019339120741858E-4</v>
      </c>
      <c r="AC146">
        <f t="shared" si="37"/>
        <v>1.9410115171696995E-3</v>
      </c>
      <c r="AD146">
        <f t="shared" si="38"/>
        <v>1.9634001694352004E-3</v>
      </c>
      <c r="AE146">
        <f t="shared" si="29"/>
        <v>8.3093804230327929E-4</v>
      </c>
      <c r="AF146">
        <f t="shared" si="30"/>
        <v>7.9072411430283198E-4</v>
      </c>
      <c r="AG146">
        <f t="shared" si="39"/>
        <v>2.013748631784708E-3</v>
      </c>
    </row>
    <row r="147" spans="1:33" x14ac:dyDescent="0.3">
      <c r="A147" s="17">
        <v>45499</v>
      </c>
      <c r="B147">
        <v>98.6</v>
      </c>
      <c r="C147">
        <v>97.7</v>
      </c>
      <c r="D147">
        <v>110.15</v>
      </c>
      <c r="E147">
        <v>109.05</v>
      </c>
      <c r="F147">
        <v>100.45</v>
      </c>
      <c r="G147">
        <v>99.55</v>
      </c>
      <c r="H147">
        <v>97.85</v>
      </c>
      <c r="I147">
        <v>96.75</v>
      </c>
      <c r="K147">
        <f t="shared" si="32"/>
        <v>1.5364919796169454E-3</v>
      </c>
      <c r="L147">
        <f t="shared" si="33"/>
        <v>0</v>
      </c>
      <c r="M147">
        <f t="shared" si="34"/>
        <v>2.0110615123794372E-3</v>
      </c>
      <c r="N147">
        <f t="shared" si="35"/>
        <v>2.0460365193971895E-3</v>
      </c>
      <c r="Q147" s="59" t="s">
        <v>60</v>
      </c>
      <c r="R147" t="s">
        <v>88</v>
      </c>
      <c r="S147" s="67">
        <v>5.6827806382945241E-3</v>
      </c>
      <c r="T147" s="71">
        <f>S147*'Simulasi Obligasi'!D81</f>
        <v>991975.60389778111</v>
      </c>
      <c r="AB147">
        <f t="shared" si="36"/>
        <v>2.5578214955518123E-3</v>
      </c>
      <c r="AC147">
        <f t="shared" si="37"/>
        <v>4.3460345707279045E-3</v>
      </c>
      <c r="AD147">
        <f t="shared" si="38"/>
        <v>2.2208265312460337E-3</v>
      </c>
      <c r="AE147">
        <f t="shared" si="29"/>
        <v>3.6821968848706633E-3</v>
      </c>
      <c r="AF147">
        <f t="shared" si="30"/>
        <v>2.6716687261358453E-3</v>
      </c>
      <c r="AG147">
        <f t="shared" si="39"/>
        <v>4.8211556203820735E-3</v>
      </c>
    </row>
    <row r="148" spans="1:33" x14ac:dyDescent="0.3">
      <c r="A148" s="17">
        <v>45502</v>
      </c>
      <c r="B148">
        <v>98.65</v>
      </c>
      <c r="C148">
        <v>97.75</v>
      </c>
      <c r="D148">
        <v>110.45</v>
      </c>
      <c r="E148">
        <v>109.35</v>
      </c>
      <c r="F148">
        <v>100.85</v>
      </c>
      <c r="G148">
        <v>100.05</v>
      </c>
      <c r="H148">
        <v>98.1</v>
      </c>
      <c r="I148">
        <v>97</v>
      </c>
      <c r="K148">
        <f t="shared" si="32"/>
        <v>5.1163981673804182E-4</v>
      </c>
      <c r="L148">
        <f t="shared" si="33"/>
        <v>2.747254475138702E-3</v>
      </c>
      <c r="M148">
        <f t="shared" si="34"/>
        <v>5.0100305195371862E-3</v>
      </c>
      <c r="N148">
        <f t="shared" si="35"/>
        <v>2.5516727292320559E-3</v>
      </c>
      <c r="AB148">
        <f t="shared" si="36"/>
        <v>0</v>
      </c>
      <c r="AC148">
        <f t="shared" si="37"/>
        <v>4.2587687975552364E-4</v>
      </c>
      <c r="AD148">
        <f t="shared" si="38"/>
        <v>1.2800966702261997E-3</v>
      </c>
      <c r="AE148">
        <f t="shared" si="29"/>
        <v>2.0643707762917009E-4</v>
      </c>
      <c r="AF148">
        <f t="shared" si="30"/>
        <v>5.9047570851978204E-4</v>
      </c>
      <c r="AG148">
        <f t="shared" si="39"/>
        <v>5.786261164066694E-4</v>
      </c>
    </row>
    <row r="149" spans="1:33" x14ac:dyDescent="0.3">
      <c r="A149" s="17">
        <v>45503</v>
      </c>
      <c r="B149">
        <v>98.65</v>
      </c>
      <c r="C149">
        <v>97.75</v>
      </c>
      <c r="D149">
        <v>110.55</v>
      </c>
      <c r="E149">
        <v>109.35</v>
      </c>
      <c r="F149">
        <v>101</v>
      </c>
      <c r="G149">
        <v>100.1</v>
      </c>
      <c r="H149">
        <v>98.25</v>
      </c>
      <c r="I149">
        <v>97.15</v>
      </c>
      <c r="K149">
        <f t="shared" si="32"/>
        <v>0</v>
      </c>
      <c r="L149">
        <f t="shared" si="33"/>
        <v>0</v>
      </c>
      <c r="M149">
        <f t="shared" si="34"/>
        <v>4.9962529143247978E-4</v>
      </c>
      <c r="N149">
        <f t="shared" si="35"/>
        <v>1.5278841780531714E-3</v>
      </c>
      <c r="AB149">
        <f t="shared" si="36"/>
        <v>1.7591228202254296E-3</v>
      </c>
      <c r="AC149">
        <f t="shared" si="37"/>
        <v>1.8523107832416467E-3</v>
      </c>
      <c r="AD149">
        <f t="shared" si="38"/>
        <v>5.2667425351498025E-3</v>
      </c>
      <c r="AE149">
        <f t="shared" si="29"/>
        <v>1.8970187819259939E-3</v>
      </c>
      <c r="AF149">
        <f t="shared" si="30"/>
        <v>3.4740439717183629E-3</v>
      </c>
      <c r="AG149">
        <f t="shared" si="39"/>
        <v>2.3104180893786567E-3</v>
      </c>
    </row>
    <row r="150" spans="1:33" x14ac:dyDescent="0.3">
      <c r="A150" s="17">
        <v>45504</v>
      </c>
      <c r="B150">
        <v>98.85</v>
      </c>
      <c r="C150">
        <v>97.85</v>
      </c>
      <c r="D150">
        <v>110.65</v>
      </c>
      <c r="E150">
        <v>109.55</v>
      </c>
      <c r="F150">
        <v>101.1</v>
      </c>
      <c r="G150">
        <v>100.3</v>
      </c>
      <c r="H150">
        <v>98.85</v>
      </c>
      <c r="I150">
        <v>97.75</v>
      </c>
      <c r="K150">
        <f t="shared" si="32"/>
        <v>1.0224949766100139E-3</v>
      </c>
      <c r="L150">
        <f t="shared" si="33"/>
        <v>1.8273189186987723E-3</v>
      </c>
      <c r="M150">
        <f t="shared" si="34"/>
        <v>1.9960086467148783E-3</v>
      </c>
      <c r="N150">
        <f t="shared" si="35"/>
        <v>6.0882988672551338E-3</v>
      </c>
      <c r="AB150">
        <f t="shared" si="36"/>
        <v>1.7992264938299295E-3</v>
      </c>
      <c r="AC150">
        <f t="shared" si="37"/>
        <v>4.0418431175464082E-3</v>
      </c>
      <c r="AD150">
        <f t="shared" si="38"/>
        <v>4.4755890486802312E-3</v>
      </c>
      <c r="AE150">
        <f t="shared" si="29"/>
        <v>2.9199641903432817E-3</v>
      </c>
      <c r="AF150">
        <f t="shared" si="30"/>
        <v>3.0689613094749407E-3</v>
      </c>
      <c r="AG150">
        <f t="shared" si="39"/>
        <v>4.520215315913078E-3</v>
      </c>
    </row>
    <row r="151" spans="1:33" x14ac:dyDescent="0.3">
      <c r="A151" s="17">
        <v>45505</v>
      </c>
      <c r="B151">
        <v>99</v>
      </c>
      <c r="C151">
        <v>98</v>
      </c>
      <c r="D151">
        <v>110.85</v>
      </c>
      <c r="E151">
        <v>109.75</v>
      </c>
      <c r="F151">
        <v>101.65</v>
      </c>
      <c r="G151">
        <v>100.75</v>
      </c>
      <c r="H151">
        <v>99.35</v>
      </c>
      <c r="I151">
        <v>98.05</v>
      </c>
      <c r="K151">
        <f t="shared" si="32"/>
        <v>1.5317848284867517E-3</v>
      </c>
      <c r="L151">
        <f t="shared" si="33"/>
        <v>1.8239859138052899E-3</v>
      </c>
      <c r="M151">
        <f t="shared" si="34"/>
        <v>4.4765058589025302E-3</v>
      </c>
      <c r="N151">
        <f t="shared" si="35"/>
        <v>5.0454193811998588E-3</v>
      </c>
      <c r="AB151">
        <f t="shared" si="36"/>
        <v>2.5848717408314529E-3</v>
      </c>
      <c r="AC151">
        <f t="shared" si="37"/>
        <v>1.5054304507457387E-4</v>
      </c>
      <c r="AD151">
        <f t="shared" si="38"/>
        <v>-1.5229068503688013E-3</v>
      </c>
      <c r="AE151">
        <f t="shared" si="29"/>
        <v>1.6018650467115123E-3</v>
      </c>
      <c r="AF151">
        <f t="shared" si="30"/>
        <v>8.9602375895556129E-4</v>
      </c>
      <c r="AG151">
        <f t="shared" si="39"/>
        <v>-1.5482061280296041E-4</v>
      </c>
    </row>
    <row r="152" spans="1:33" x14ac:dyDescent="0.3">
      <c r="A152" s="17">
        <v>45506</v>
      </c>
      <c r="B152">
        <v>99</v>
      </c>
      <c r="C152">
        <v>98.1</v>
      </c>
      <c r="D152">
        <v>111.05</v>
      </c>
      <c r="E152">
        <v>110.05</v>
      </c>
      <c r="F152">
        <v>101.75</v>
      </c>
      <c r="G152">
        <v>100.75</v>
      </c>
      <c r="H152">
        <v>99.15</v>
      </c>
      <c r="I152">
        <v>98.05</v>
      </c>
      <c r="K152">
        <f t="shared" si="32"/>
        <v>1.0198879007453808E-3</v>
      </c>
      <c r="L152">
        <f t="shared" si="33"/>
        <v>2.7297560171898956E-3</v>
      </c>
      <c r="M152">
        <f t="shared" si="34"/>
        <v>0</v>
      </c>
      <c r="N152">
        <f t="shared" si="35"/>
        <v>-2.0151140320207547E-3</v>
      </c>
      <c r="AB152">
        <f t="shared" si="36"/>
        <v>9.6076817677523949E-4</v>
      </c>
      <c r="AC152">
        <f t="shared" si="37"/>
        <v>2.3380252014423659E-3</v>
      </c>
      <c r="AD152">
        <f t="shared" si="38"/>
        <v>-5.9764455954847595E-4</v>
      </c>
      <c r="AE152">
        <f t="shared" si="29"/>
        <v>1.5569848098222535E-3</v>
      </c>
      <c r="AF152">
        <f t="shared" si="30"/>
        <v>1.6727528336985578E-4</v>
      </c>
      <c r="AG152">
        <f t="shared" si="39"/>
        <v>2.2103802741400653E-3</v>
      </c>
    </row>
    <row r="153" spans="1:33" x14ac:dyDescent="0.3">
      <c r="A153" s="17">
        <v>45509</v>
      </c>
      <c r="B153">
        <v>99.25</v>
      </c>
      <c r="C153">
        <v>98.25</v>
      </c>
      <c r="D153">
        <v>111.25</v>
      </c>
      <c r="E153">
        <v>110.15</v>
      </c>
      <c r="F153">
        <v>101.9</v>
      </c>
      <c r="G153">
        <v>101</v>
      </c>
      <c r="H153">
        <v>99.05</v>
      </c>
      <c r="I153">
        <v>97.75</v>
      </c>
      <c r="K153">
        <f t="shared" si="32"/>
        <v>1.5278841780531714E-3</v>
      </c>
      <c r="L153">
        <f t="shared" si="33"/>
        <v>9.0826527588143359E-4</v>
      </c>
      <c r="M153">
        <f t="shared" si="34"/>
        <v>2.4783160144670005E-3</v>
      </c>
      <c r="N153">
        <f t="shared" si="35"/>
        <v>-1.0090818212451684E-3</v>
      </c>
      <c r="AB153">
        <f t="shared" si="36"/>
        <v>0</v>
      </c>
      <c r="AC153">
        <f t="shared" si="37"/>
        <v>0</v>
      </c>
      <c r="AD153">
        <f t="shared" si="38"/>
        <v>0</v>
      </c>
      <c r="AE153">
        <f t="shared" si="29"/>
        <v>0</v>
      </c>
      <c r="AF153">
        <f t="shared" si="30"/>
        <v>0</v>
      </c>
      <c r="AG153">
        <f t="shared" si="39"/>
        <v>0</v>
      </c>
    </row>
    <row r="154" spans="1:33" x14ac:dyDescent="0.3">
      <c r="A154" s="17">
        <v>45510</v>
      </c>
      <c r="B154">
        <v>99.25</v>
      </c>
      <c r="C154">
        <v>98.25</v>
      </c>
      <c r="D154">
        <v>111.25</v>
      </c>
      <c r="E154">
        <v>110.15</v>
      </c>
      <c r="F154">
        <v>101.85</v>
      </c>
      <c r="G154">
        <v>101</v>
      </c>
      <c r="H154">
        <v>99.05</v>
      </c>
      <c r="I154">
        <v>97.95</v>
      </c>
      <c r="K154">
        <f t="shared" si="32"/>
        <v>0</v>
      </c>
      <c r="L154">
        <f t="shared" si="33"/>
        <v>0</v>
      </c>
      <c r="M154">
        <f t="shared" si="34"/>
        <v>0</v>
      </c>
      <c r="N154">
        <f t="shared" si="35"/>
        <v>0</v>
      </c>
      <c r="AB154">
        <f t="shared" si="36"/>
        <v>-8.7443685793962237E-4</v>
      </c>
      <c r="AC154">
        <f t="shared" si="37"/>
        <v>-9.1950851344742041E-4</v>
      </c>
      <c r="AD154">
        <f t="shared" si="38"/>
        <v>-8.2553777462674799E-5</v>
      </c>
      <c r="AE154">
        <f t="shared" si="29"/>
        <v>-9.4228030425965836E-4</v>
      </c>
      <c r="AF154">
        <f t="shared" si="30"/>
        <v>-5.5725137705093218E-4</v>
      </c>
      <c r="AG154">
        <f t="shared" si="39"/>
        <v>-9.1448278591838082E-4</v>
      </c>
    </row>
    <row r="155" spans="1:33" x14ac:dyDescent="0.3">
      <c r="A155" s="17">
        <v>45511</v>
      </c>
      <c r="B155">
        <v>99.05</v>
      </c>
      <c r="C155">
        <v>98.2</v>
      </c>
      <c r="D155">
        <v>111.65</v>
      </c>
      <c r="E155">
        <v>110.05</v>
      </c>
      <c r="F155">
        <v>101.8</v>
      </c>
      <c r="G155">
        <v>100.9</v>
      </c>
      <c r="H155">
        <v>99.05</v>
      </c>
      <c r="I155">
        <v>98.05</v>
      </c>
      <c r="K155">
        <f t="shared" si="32"/>
        <v>-5.0903538895036163E-4</v>
      </c>
      <c r="L155">
        <f t="shared" si="33"/>
        <v>-9.0826527588156705E-4</v>
      </c>
      <c r="M155">
        <f t="shared" si="34"/>
        <v>-9.9058948169606807E-4</v>
      </c>
      <c r="N155">
        <f t="shared" si="35"/>
        <v>0</v>
      </c>
      <c r="AB155">
        <f t="shared" si="36"/>
        <v>-4.3154664598386172E-5</v>
      </c>
      <c r="AC155">
        <f t="shared" si="37"/>
        <v>2.8764710494183438E-3</v>
      </c>
      <c r="AD155">
        <f t="shared" si="38"/>
        <v>2.4511453463456042E-3</v>
      </c>
      <c r="AE155">
        <f t="shared" si="29"/>
        <v>1.4307640395918885E-3</v>
      </c>
      <c r="AF155">
        <f t="shared" si="30"/>
        <v>1.1687497094413628E-3</v>
      </c>
      <c r="AG155">
        <f t="shared" si="39"/>
        <v>3.4290824427856267E-3</v>
      </c>
    </row>
    <row r="156" spans="1:33" x14ac:dyDescent="0.3">
      <c r="A156" s="17">
        <v>45512</v>
      </c>
      <c r="B156">
        <v>99.25</v>
      </c>
      <c r="C156">
        <v>98.15</v>
      </c>
      <c r="D156">
        <v>111.65</v>
      </c>
      <c r="E156">
        <v>110.05</v>
      </c>
      <c r="F156">
        <v>102.25</v>
      </c>
      <c r="G156">
        <v>101.25</v>
      </c>
      <c r="H156">
        <v>99.35</v>
      </c>
      <c r="I156">
        <v>98.15</v>
      </c>
      <c r="K156">
        <f t="shared" si="32"/>
        <v>-5.0929463795011307E-4</v>
      </c>
      <c r="L156">
        <f t="shared" si="33"/>
        <v>0</v>
      </c>
      <c r="M156">
        <f t="shared" si="34"/>
        <v>3.4627786270851556E-3</v>
      </c>
      <c r="N156">
        <f t="shared" si="35"/>
        <v>3.0241958532657817E-3</v>
      </c>
      <c r="AB156">
        <f t="shared" si="36"/>
        <v>1.7050086261885808E-3</v>
      </c>
      <c r="AC156">
        <f t="shared" si="37"/>
        <v>3.8551932135733099E-3</v>
      </c>
      <c r="AD156">
        <f t="shared" si="38"/>
        <v>-1.6057132789702713E-3</v>
      </c>
      <c r="AE156">
        <f t="shared" si="29"/>
        <v>2.897789577194435E-3</v>
      </c>
      <c r="AF156">
        <f t="shared" si="30"/>
        <v>3.3522346551590246E-4</v>
      </c>
      <c r="AG156">
        <f t="shared" si="39"/>
        <v>3.9390676789481938E-3</v>
      </c>
    </row>
    <row r="157" spans="1:33" x14ac:dyDescent="0.3">
      <c r="A157" s="17">
        <v>45513</v>
      </c>
      <c r="B157">
        <v>99.25</v>
      </c>
      <c r="C157">
        <v>98.2</v>
      </c>
      <c r="D157">
        <v>111.35</v>
      </c>
      <c r="E157">
        <v>110.25</v>
      </c>
      <c r="F157">
        <v>102.5</v>
      </c>
      <c r="G157">
        <v>101.7</v>
      </c>
      <c r="H157">
        <v>99.15</v>
      </c>
      <c r="I157">
        <v>98.35</v>
      </c>
      <c r="K157">
        <f t="shared" si="32"/>
        <v>5.092946379501353E-4</v>
      </c>
      <c r="L157">
        <f t="shared" si="33"/>
        <v>1.815706354484655E-3</v>
      </c>
      <c r="M157">
        <f t="shared" si="34"/>
        <v>4.4345970678657748E-3</v>
      </c>
      <c r="N157">
        <f t="shared" si="35"/>
        <v>-2.0151140320207547E-3</v>
      </c>
      <c r="AB157">
        <f t="shared" si="36"/>
        <v>-1.2892621653075565E-3</v>
      </c>
      <c r="AC157">
        <f t="shared" si="37"/>
        <v>-1.3333199033274366E-3</v>
      </c>
      <c r="AD157">
        <f t="shared" si="38"/>
        <v>-8.2595821659792483E-5</v>
      </c>
      <c r="AE157">
        <f t="shared" si="29"/>
        <v>-1.4087985013556885E-3</v>
      </c>
      <c r="AF157">
        <f t="shared" si="30"/>
        <v>-8.3530812624368705E-4</v>
      </c>
      <c r="AG157">
        <f t="shared" si="39"/>
        <v>-1.3626132317315612E-3</v>
      </c>
    </row>
    <row r="158" spans="1:33" x14ac:dyDescent="0.3">
      <c r="A158" s="17">
        <v>45516</v>
      </c>
      <c r="B158">
        <v>99.25</v>
      </c>
      <c r="C158">
        <v>98.15</v>
      </c>
      <c r="D158">
        <v>111.75</v>
      </c>
      <c r="E158">
        <v>110.1</v>
      </c>
      <c r="F158">
        <v>102.5</v>
      </c>
      <c r="G158">
        <v>101.55</v>
      </c>
      <c r="H158">
        <v>99.15</v>
      </c>
      <c r="I158">
        <v>98.35</v>
      </c>
      <c r="K158">
        <f t="shared" si="32"/>
        <v>-5.0929463795011307E-4</v>
      </c>
      <c r="L158">
        <f t="shared" si="33"/>
        <v>-1.3614705983211856E-3</v>
      </c>
      <c r="M158">
        <f t="shared" si="34"/>
        <v>-1.4760150281206525E-3</v>
      </c>
      <c r="N158">
        <f t="shared" si="35"/>
        <v>0</v>
      </c>
      <c r="AB158">
        <f t="shared" si="36"/>
        <v>5.8007081670503266E-3</v>
      </c>
      <c r="AC158">
        <f t="shared" si="37"/>
        <v>1.677113294797579E-3</v>
      </c>
      <c r="AD158">
        <f t="shared" si="38"/>
        <v>8.4457981716302109E-4</v>
      </c>
      <c r="AE158">
        <f t="shared" si="29"/>
        <v>4.5320370918337854E-3</v>
      </c>
      <c r="AF158">
        <f t="shared" si="30"/>
        <v>4.2779944195161764E-3</v>
      </c>
      <c r="AG158">
        <f t="shared" si="39"/>
        <v>1.8938203708602742E-3</v>
      </c>
    </row>
    <row r="159" spans="1:33" x14ac:dyDescent="0.3">
      <c r="A159" s="17">
        <v>45517</v>
      </c>
      <c r="B159">
        <v>99.15</v>
      </c>
      <c r="C159">
        <v>98.15</v>
      </c>
      <c r="D159">
        <v>111.95</v>
      </c>
      <c r="E159">
        <v>110.8</v>
      </c>
      <c r="F159">
        <v>102.55</v>
      </c>
      <c r="G159">
        <v>101.75</v>
      </c>
      <c r="H159">
        <v>99.25</v>
      </c>
      <c r="I159">
        <v>98.35</v>
      </c>
      <c r="K159">
        <f t="shared" si="32"/>
        <v>0</v>
      </c>
      <c r="L159">
        <f t="shared" si="33"/>
        <v>6.3377305845491389E-3</v>
      </c>
      <c r="M159">
        <f t="shared" si="34"/>
        <v>1.967536296310668E-3</v>
      </c>
      <c r="N159">
        <f t="shared" si="35"/>
        <v>1.0080646014948202E-3</v>
      </c>
      <c r="AB159">
        <f t="shared" si="36"/>
        <v>4.3154664598388055E-5</v>
      </c>
      <c r="AC159">
        <f t="shared" si="37"/>
        <v>3.4195352694381268E-3</v>
      </c>
      <c r="AD159">
        <f t="shared" si="38"/>
        <v>1.3478713317189377E-3</v>
      </c>
      <c r="AE159">
        <f t="shared" si="29"/>
        <v>1.6211253842848732E-3</v>
      </c>
      <c r="AF159">
        <f t="shared" si="30"/>
        <v>5.8363908808768434E-4</v>
      </c>
      <c r="AG159">
        <f t="shared" si="39"/>
        <v>3.7380835997892739E-3</v>
      </c>
    </row>
    <row r="160" spans="1:33" x14ac:dyDescent="0.3">
      <c r="A160" s="17">
        <v>45518</v>
      </c>
      <c r="B160">
        <v>99.4</v>
      </c>
      <c r="C160">
        <v>98.2</v>
      </c>
      <c r="D160">
        <v>111.95</v>
      </c>
      <c r="E160">
        <v>110.8</v>
      </c>
      <c r="F160">
        <v>103</v>
      </c>
      <c r="G160">
        <v>102.15</v>
      </c>
      <c r="H160">
        <v>99.4</v>
      </c>
      <c r="I160">
        <v>98.45</v>
      </c>
      <c r="K160">
        <f t="shared" si="32"/>
        <v>5.092946379501353E-4</v>
      </c>
      <c r="L160">
        <f t="shared" si="33"/>
        <v>0</v>
      </c>
      <c r="M160">
        <f t="shared" si="34"/>
        <v>3.9234969409268159E-3</v>
      </c>
      <c r="N160">
        <f t="shared" si="35"/>
        <v>1.5101940952286935E-3</v>
      </c>
      <c r="AB160">
        <f t="shared" si="36"/>
        <v>-3.5954715774466936E-3</v>
      </c>
      <c r="AC160">
        <f t="shared" si="37"/>
        <v>1.4760572533465391E-3</v>
      </c>
      <c r="AD160">
        <f t="shared" si="38"/>
        <v>4.0319372727615774E-3</v>
      </c>
      <c r="AE160">
        <f t="shared" si="29"/>
        <v>-1.7818456637339387E-3</v>
      </c>
      <c r="AF160">
        <f t="shared" si="30"/>
        <v>-7.5121499567965726E-4</v>
      </c>
      <c r="AG160">
        <f t="shared" si="39"/>
        <v>1.7016511343862532E-3</v>
      </c>
    </row>
    <row r="161" spans="1:33" x14ac:dyDescent="0.3">
      <c r="A161" s="17">
        <v>45519</v>
      </c>
      <c r="B161">
        <v>99.4</v>
      </c>
      <c r="C161">
        <v>98.35</v>
      </c>
      <c r="D161">
        <v>112.1</v>
      </c>
      <c r="E161">
        <v>110.35</v>
      </c>
      <c r="F161">
        <v>103.05</v>
      </c>
      <c r="G161">
        <v>102.3</v>
      </c>
      <c r="H161">
        <v>99.85</v>
      </c>
      <c r="I161">
        <v>98.75</v>
      </c>
      <c r="K161">
        <f t="shared" si="32"/>
        <v>1.526329474647703E-3</v>
      </c>
      <c r="L161">
        <f t="shared" si="33"/>
        <v>-4.0696416104380861E-3</v>
      </c>
      <c r="M161">
        <f t="shared" si="34"/>
        <v>1.4673516939497444E-3</v>
      </c>
      <c r="N161">
        <f t="shared" si="35"/>
        <v>4.5169461992958168E-3</v>
      </c>
      <c r="AB161">
        <f t="shared" si="36"/>
        <v>7.0230626259779336E-3</v>
      </c>
      <c r="AC161">
        <f t="shared" si="37"/>
        <v>4.1651237432664153E-4</v>
      </c>
      <c r="AD161">
        <f t="shared" si="38"/>
        <v>1.2576781561235023E-3</v>
      </c>
      <c r="AE161">
        <f t="shared" si="29"/>
        <v>4.7046846509068187E-3</v>
      </c>
      <c r="AF161">
        <f t="shared" si="30"/>
        <v>5.2879317274796694E-3</v>
      </c>
      <c r="AG161">
        <f t="shared" si="39"/>
        <v>5.6642822352375485E-4</v>
      </c>
    </row>
    <row r="162" spans="1:33" x14ac:dyDescent="0.3">
      <c r="A162" s="17">
        <v>45520</v>
      </c>
      <c r="B162">
        <v>99.4</v>
      </c>
      <c r="C162">
        <v>98.35</v>
      </c>
      <c r="D162">
        <v>112.85</v>
      </c>
      <c r="E162">
        <v>111.2</v>
      </c>
      <c r="F162">
        <v>103.15</v>
      </c>
      <c r="G162">
        <v>102.35</v>
      </c>
      <c r="H162">
        <v>100</v>
      </c>
      <c r="I162">
        <v>99</v>
      </c>
      <c r="K162">
        <f t="shared" si="32"/>
        <v>0</v>
      </c>
      <c r="L162">
        <f t="shared" si="33"/>
        <v>7.6732491137367319E-3</v>
      </c>
      <c r="M162">
        <f t="shared" si="34"/>
        <v>4.886391497177379E-4</v>
      </c>
      <c r="N162">
        <f t="shared" si="35"/>
        <v>1.5011261262671913E-3</v>
      </c>
      <c r="AB162">
        <f t="shared" si="36"/>
        <v>4.306692957129541E-5</v>
      </c>
      <c r="AC162">
        <f t="shared" si="37"/>
        <v>1.7390400776468326E-3</v>
      </c>
      <c r="AD162">
        <f t="shared" si="38"/>
        <v>2.1743718287796916E-3</v>
      </c>
      <c r="AE162">
        <f t="shared" si="29"/>
        <v>8.0660601952016854E-4</v>
      </c>
      <c r="AF162">
        <f t="shared" si="30"/>
        <v>9.6495999207765271E-4</v>
      </c>
      <c r="AG162">
        <f t="shared" si="39"/>
        <v>1.9940221486835115E-3</v>
      </c>
    </row>
    <row r="163" spans="1:33" x14ac:dyDescent="0.3">
      <c r="A163" s="17">
        <v>45523</v>
      </c>
      <c r="B163">
        <v>99.35</v>
      </c>
      <c r="C163">
        <v>98.4</v>
      </c>
      <c r="D163">
        <v>112.85</v>
      </c>
      <c r="E163">
        <v>111.2</v>
      </c>
      <c r="F163">
        <v>103.2</v>
      </c>
      <c r="G163">
        <v>102.55</v>
      </c>
      <c r="H163">
        <v>100.25</v>
      </c>
      <c r="I163">
        <v>99.25</v>
      </c>
      <c r="K163">
        <f t="shared" si="32"/>
        <v>5.0825922313983544E-4</v>
      </c>
      <c r="L163">
        <f t="shared" si="33"/>
        <v>0</v>
      </c>
      <c r="M163">
        <f t="shared" si="34"/>
        <v>1.9521724110911926E-3</v>
      </c>
      <c r="N163">
        <f t="shared" si="35"/>
        <v>2.4968801985871458E-3</v>
      </c>
      <c r="AB163">
        <f t="shared" si="36"/>
        <v>1.7737525637728066E-3</v>
      </c>
      <c r="AC163">
        <f t="shared" si="37"/>
        <v>2.2484001742745119E-4</v>
      </c>
      <c r="AD163">
        <f t="shared" si="38"/>
        <v>2.4703263317717915E-4</v>
      </c>
      <c r="AE163">
        <f t="shared" si="29"/>
        <v>1.0544768295120031E-3</v>
      </c>
      <c r="AF163">
        <f t="shared" si="30"/>
        <v>1.1024867727721828E-3</v>
      </c>
      <c r="AG163">
        <f t="shared" si="39"/>
        <v>0</v>
      </c>
    </row>
    <row r="164" spans="1:33" x14ac:dyDescent="0.3">
      <c r="A164" s="17">
        <v>45524</v>
      </c>
      <c r="B164">
        <v>99.5</v>
      </c>
      <c r="C164">
        <v>98.55</v>
      </c>
      <c r="D164">
        <v>112.85</v>
      </c>
      <c r="E164">
        <v>111.4</v>
      </c>
      <c r="F164">
        <v>103.4</v>
      </c>
      <c r="G164">
        <v>102.55</v>
      </c>
      <c r="H164">
        <v>100.25</v>
      </c>
      <c r="I164">
        <v>99.25</v>
      </c>
      <c r="K164">
        <f t="shared" si="32"/>
        <v>1.5232295405214163E-3</v>
      </c>
      <c r="L164">
        <f t="shared" si="33"/>
        <v>1.7969456767016347E-3</v>
      </c>
      <c r="M164">
        <f t="shared" si="34"/>
        <v>0</v>
      </c>
      <c r="N164">
        <f t="shared" si="35"/>
        <v>0</v>
      </c>
      <c r="AB164">
        <f t="shared" si="36"/>
        <v>3.7327459635984684E-3</v>
      </c>
      <c r="AC164">
        <f t="shared" si="37"/>
        <v>3.8070746042002963E-3</v>
      </c>
      <c r="AD164">
        <f t="shared" si="38"/>
        <v>3.4185442453755753E-3</v>
      </c>
      <c r="AE164">
        <f t="shared" si="29"/>
        <v>4.1747944184832653E-3</v>
      </c>
      <c r="AF164">
        <f t="shared" si="30"/>
        <v>4.0123174934959633E-3</v>
      </c>
      <c r="AG164">
        <f t="shared" si="39"/>
        <v>4.3480470484351013E-3</v>
      </c>
    </row>
    <row r="165" spans="1:33" x14ac:dyDescent="0.3">
      <c r="A165" s="17">
        <v>45525</v>
      </c>
      <c r="B165">
        <v>99.5</v>
      </c>
      <c r="C165">
        <v>98.6</v>
      </c>
      <c r="D165">
        <v>112.85</v>
      </c>
      <c r="E165">
        <v>111.85</v>
      </c>
      <c r="F165">
        <v>103.6</v>
      </c>
      <c r="G165">
        <v>103</v>
      </c>
      <c r="H165">
        <v>100.65</v>
      </c>
      <c r="I165">
        <v>99.85</v>
      </c>
      <c r="K165">
        <f t="shared" si="32"/>
        <v>5.0722800986046745E-4</v>
      </c>
      <c r="L165">
        <f t="shared" si="33"/>
        <v>4.0313604429548771E-3</v>
      </c>
      <c r="M165">
        <f t="shared" si="34"/>
        <v>4.3785037112461546E-3</v>
      </c>
      <c r="N165">
        <f t="shared" si="35"/>
        <v>3.9820858991219416E-3</v>
      </c>
      <c r="AB165">
        <f t="shared" si="36"/>
        <v>-1.2900410830904264E-4</v>
      </c>
      <c r="AC165">
        <f t="shared" si="37"/>
        <v>-3.9569298890520452E-3</v>
      </c>
      <c r="AD165">
        <f t="shared" si="38"/>
        <v>-6.6321689495867347E-4</v>
      </c>
      <c r="AE165">
        <f t="shared" si="29"/>
        <v>-1.8091268117084083E-3</v>
      </c>
      <c r="AF165">
        <f t="shared" si="30"/>
        <v>-1.9203293614729165E-4</v>
      </c>
      <c r="AG165">
        <f t="shared" si="39"/>
        <v>-4.0802808218423411E-3</v>
      </c>
    </row>
    <row r="166" spans="1:33" x14ac:dyDescent="0.3">
      <c r="A166" s="17">
        <v>45526</v>
      </c>
      <c r="B166">
        <v>99.35</v>
      </c>
      <c r="C166">
        <v>98.45</v>
      </c>
      <c r="D166">
        <v>112.85</v>
      </c>
      <c r="E166">
        <v>111.85</v>
      </c>
      <c r="F166">
        <v>103.45</v>
      </c>
      <c r="G166">
        <v>102.55</v>
      </c>
      <c r="H166">
        <v>100.6</v>
      </c>
      <c r="I166">
        <v>99.6</v>
      </c>
      <c r="K166">
        <f t="shared" si="32"/>
        <v>-1.5224565234551268E-3</v>
      </c>
      <c r="L166">
        <f t="shared" si="33"/>
        <v>0</v>
      </c>
      <c r="M166">
        <f t="shared" si="34"/>
        <v>-4.3785037112461286E-3</v>
      </c>
      <c r="N166">
        <f t="shared" si="35"/>
        <v>-4.9689442016176053E-4</v>
      </c>
      <c r="AB166">
        <f t="shared" si="36"/>
        <v>-9.4786438781072437E-4</v>
      </c>
      <c r="AC166">
        <f t="shared" si="37"/>
        <v>1.9042866169645162E-4</v>
      </c>
      <c r="AD166">
        <f t="shared" si="38"/>
        <v>1.0010250630414807E-3</v>
      </c>
      <c r="AE166">
        <f t="shared" si="29"/>
        <v>-3.2347464671542554E-4</v>
      </c>
      <c r="AF166">
        <f t="shared" si="30"/>
        <v>2.7034820018168168E-5</v>
      </c>
      <c r="AG166">
        <f t="shared" si="39"/>
        <v>5.6446960710483847E-4</v>
      </c>
    </row>
    <row r="167" spans="1:33" x14ac:dyDescent="0.3">
      <c r="A167" s="17">
        <v>45527</v>
      </c>
      <c r="B167">
        <v>99.3</v>
      </c>
      <c r="C167">
        <v>98.3</v>
      </c>
      <c r="D167">
        <v>112.75</v>
      </c>
      <c r="E167">
        <v>111.75</v>
      </c>
      <c r="F167">
        <v>103.5</v>
      </c>
      <c r="G167">
        <v>102.6</v>
      </c>
      <c r="H167">
        <v>100.75</v>
      </c>
      <c r="I167">
        <v>99.75</v>
      </c>
      <c r="K167">
        <f t="shared" si="32"/>
        <v>-1.5247779320136923E-3</v>
      </c>
      <c r="L167">
        <f t="shared" si="33"/>
        <v>-8.9445444246034011E-4</v>
      </c>
      <c r="M167">
        <f t="shared" si="34"/>
        <v>4.8744821827951753E-4</v>
      </c>
      <c r="N167">
        <f t="shared" si="35"/>
        <v>1.489943161153578E-3</v>
      </c>
      <c r="AB167">
        <f t="shared" si="36"/>
        <v>1.7222400666289231E-4</v>
      </c>
      <c r="AC167">
        <f t="shared" si="37"/>
        <v>5.2702483050894216E-3</v>
      </c>
      <c r="AD167">
        <f t="shared" si="38"/>
        <v>6.5434248391437865E-3</v>
      </c>
      <c r="AE167">
        <f t="shared" si="29"/>
        <v>2.4092418248034728E-3</v>
      </c>
      <c r="AF167">
        <f t="shared" si="30"/>
        <v>2.8662648766686651E-3</v>
      </c>
      <c r="AG167">
        <f t="shared" si="39"/>
        <v>5.952747430372966E-3</v>
      </c>
    </row>
    <row r="168" spans="1:33" x14ac:dyDescent="0.3">
      <c r="A168" s="17">
        <v>45530</v>
      </c>
      <c r="B168">
        <v>99.5</v>
      </c>
      <c r="C168">
        <v>98.5</v>
      </c>
      <c r="D168">
        <v>113.05</v>
      </c>
      <c r="E168">
        <v>111.75</v>
      </c>
      <c r="F168">
        <v>104</v>
      </c>
      <c r="G168">
        <v>103.2</v>
      </c>
      <c r="H168">
        <v>101.5</v>
      </c>
      <c r="I168">
        <v>100.3</v>
      </c>
      <c r="K168">
        <f t="shared" si="32"/>
        <v>2.0325210249224307E-3</v>
      </c>
      <c r="L168">
        <f t="shared" si="33"/>
        <v>0</v>
      </c>
      <c r="M168">
        <f t="shared" si="34"/>
        <v>5.8309203107933649E-3</v>
      </c>
      <c r="N168">
        <f t="shared" si="35"/>
        <v>7.4165976550496192E-3</v>
      </c>
      <c r="AB168">
        <f t="shared" si="36"/>
        <v>4.5242468263236919E-4</v>
      </c>
      <c r="AC168">
        <f t="shared" si="37"/>
        <v>-1.5786177072368947E-3</v>
      </c>
      <c r="AD168">
        <f t="shared" si="38"/>
        <v>-5.3003207012109607E-3</v>
      </c>
      <c r="AE168">
        <f t="shared" si="29"/>
        <v>-5.3902185866521043E-4</v>
      </c>
      <c r="AF168">
        <f t="shared" si="30"/>
        <v>-2.208415422241716E-3</v>
      </c>
      <c r="AG168">
        <f t="shared" si="39"/>
        <v>-2.2844206258882532E-3</v>
      </c>
    </row>
    <row r="169" spans="1:33" x14ac:dyDescent="0.3">
      <c r="A169" s="17">
        <v>45531</v>
      </c>
      <c r="B169">
        <v>99.55</v>
      </c>
      <c r="C169">
        <v>98.55</v>
      </c>
      <c r="D169">
        <v>113</v>
      </c>
      <c r="E169">
        <v>111.8</v>
      </c>
      <c r="F169">
        <v>103.9</v>
      </c>
      <c r="G169">
        <v>103</v>
      </c>
      <c r="H169">
        <v>100.85</v>
      </c>
      <c r="I169">
        <v>99.85</v>
      </c>
      <c r="K169">
        <f t="shared" si="32"/>
        <v>5.0748542068593629E-4</v>
      </c>
      <c r="L169">
        <f t="shared" si="33"/>
        <v>4.4732722732048933E-4</v>
      </c>
      <c r="M169">
        <f t="shared" si="34"/>
        <v>-1.9398648178265917E-3</v>
      </c>
      <c r="N169">
        <f t="shared" si="35"/>
        <v>-6.4245340816213364E-3</v>
      </c>
      <c r="AB169">
        <f t="shared" si="36"/>
        <v>-2.545316188461948E-3</v>
      </c>
      <c r="AC169">
        <f t="shared" si="37"/>
        <v>2.6382710963008019E-4</v>
      </c>
      <c r="AD169">
        <f t="shared" si="38"/>
        <v>1.0805700336097121E-3</v>
      </c>
      <c r="AE169">
        <f t="shared" si="29"/>
        <v>-1.3762314197659762E-3</v>
      </c>
      <c r="AF169">
        <f t="shared" si="30"/>
        <v>-1.0741601541760192E-3</v>
      </c>
      <c r="AG169">
        <f t="shared" si="39"/>
        <v>5.6222051772730438E-4</v>
      </c>
    </row>
    <row r="170" spans="1:33" x14ac:dyDescent="0.3">
      <c r="A170" s="17">
        <v>45532</v>
      </c>
      <c r="B170">
        <v>99.25</v>
      </c>
      <c r="C170">
        <v>98.45</v>
      </c>
      <c r="D170">
        <v>112.8</v>
      </c>
      <c r="E170">
        <v>111.5</v>
      </c>
      <c r="F170">
        <v>103.85</v>
      </c>
      <c r="G170">
        <v>103.05</v>
      </c>
      <c r="H170">
        <v>101</v>
      </c>
      <c r="I170">
        <v>100.2</v>
      </c>
      <c r="K170">
        <f t="shared" si="32"/>
        <v>-1.0152285135945518E-3</v>
      </c>
      <c r="L170">
        <f t="shared" si="33"/>
        <v>-2.6869698208252975E-3</v>
      </c>
      <c r="M170">
        <f t="shared" si="34"/>
        <v>4.8531910683228901E-4</v>
      </c>
      <c r="N170">
        <f t="shared" si="35"/>
        <v>1.4862524410386502E-3</v>
      </c>
      <c r="AB170">
        <f t="shared" si="36"/>
        <v>4.2671177746246682E-3</v>
      </c>
      <c r="AC170">
        <f t="shared" si="37"/>
        <v>1.9522834031913652E-3</v>
      </c>
      <c r="AD170">
        <f t="shared" si="38"/>
        <v>3.2912622625067548E-4</v>
      </c>
      <c r="AE170">
        <f t="shared" si="29"/>
        <v>3.4267124080566928E-3</v>
      </c>
      <c r="AF170">
        <f t="shared" si="30"/>
        <v>2.7451219127162673E-3</v>
      </c>
      <c r="AG170">
        <f t="shared" si="39"/>
        <v>1.7899575106370136E-3</v>
      </c>
    </row>
    <row r="171" spans="1:33" x14ac:dyDescent="0.3">
      <c r="A171" s="17">
        <v>45533</v>
      </c>
      <c r="B171">
        <v>99.45</v>
      </c>
      <c r="C171">
        <v>98.65</v>
      </c>
      <c r="D171">
        <v>113</v>
      </c>
      <c r="E171">
        <v>112</v>
      </c>
      <c r="F171">
        <v>104.05</v>
      </c>
      <c r="G171">
        <v>103.25</v>
      </c>
      <c r="H171">
        <v>101</v>
      </c>
      <c r="I171">
        <v>100.2</v>
      </c>
      <c r="K171">
        <f t="shared" si="32"/>
        <v>2.029427383489824E-3</v>
      </c>
      <c r="L171">
        <f t="shared" si="33"/>
        <v>4.4742803949211069E-3</v>
      </c>
      <c r="M171">
        <f t="shared" si="34"/>
        <v>1.9389245046742267E-3</v>
      </c>
      <c r="N171">
        <f t="shared" si="35"/>
        <v>0</v>
      </c>
      <c r="AB171">
        <f t="shared" si="36"/>
        <v>-8.5937311734822987E-5</v>
      </c>
      <c r="AC171">
        <f t="shared" si="37"/>
        <v>-1.388946394442644E-3</v>
      </c>
      <c r="AD171">
        <f t="shared" si="38"/>
        <v>-5.7934623383950278E-4</v>
      </c>
      <c r="AE171">
        <f t="shared" si="29"/>
        <v>-6.0070347718486027E-4</v>
      </c>
      <c r="AF171">
        <f t="shared" si="30"/>
        <v>-1.9136731069141719E-4</v>
      </c>
      <c r="AG171">
        <f t="shared" si="39"/>
        <v>-1.3801865838792425E-3</v>
      </c>
    </row>
    <row r="172" spans="1:33" x14ac:dyDescent="0.3">
      <c r="A172" s="17">
        <v>45534</v>
      </c>
      <c r="B172">
        <v>99.35</v>
      </c>
      <c r="C172">
        <v>98.55</v>
      </c>
      <c r="D172">
        <v>113</v>
      </c>
      <c r="E172">
        <v>112</v>
      </c>
      <c r="F172">
        <v>104</v>
      </c>
      <c r="G172">
        <v>103.1</v>
      </c>
      <c r="H172">
        <v>100.95</v>
      </c>
      <c r="I172">
        <v>100.05</v>
      </c>
      <c r="K172">
        <f t="shared" si="32"/>
        <v>-1.0141988698952702E-3</v>
      </c>
      <c r="L172">
        <f t="shared" si="33"/>
        <v>0</v>
      </c>
      <c r="M172">
        <f t="shared" si="34"/>
        <v>-1.4538408182279998E-3</v>
      </c>
      <c r="N172">
        <f t="shared" si="35"/>
        <v>-4.9517208241294875E-4</v>
      </c>
      <c r="AB172">
        <f t="shared" si="36"/>
        <v>-1.1836444676034091E-3</v>
      </c>
      <c r="AC172">
        <f t="shared" si="37"/>
        <v>-1.1661767488153273E-3</v>
      </c>
      <c r="AD172">
        <f t="shared" si="38"/>
        <v>8.2260662338625218E-5</v>
      </c>
      <c r="AE172">
        <f t="shared" si="29"/>
        <v>-1.3880193790520427E-3</v>
      </c>
      <c r="AF172">
        <f t="shared" si="30"/>
        <v>-8.2224768700322342E-4</v>
      </c>
      <c r="AG172">
        <f t="shared" si="39"/>
        <v>-1.3440967628836353E-3</v>
      </c>
    </row>
    <row r="173" spans="1:33" x14ac:dyDescent="0.3">
      <c r="A173" s="17">
        <v>45537</v>
      </c>
      <c r="B173">
        <v>99.35</v>
      </c>
      <c r="C173">
        <v>98.6</v>
      </c>
      <c r="D173">
        <v>112.85</v>
      </c>
      <c r="E173">
        <v>111.85</v>
      </c>
      <c r="F173">
        <v>103.85</v>
      </c>
      <c r="G173">
        <v>102.95</v>
      </c>
      <c r="H173">
        <v>100.95</v>
      </c>
      <c r="I173">
        <v>100.05</v>
      </c>
      <c r="K173">
        <f t="shared" si="32"/>
        <v>5.0722800986046745E-4</v>
      </c>
      <c r="L173">
        <f t="shared" si="33"/>
        <v>-1.3401833589559791E-3</v>
      </c>
      <c r="M173">
        <f t="shared" si="34"/>
        <v>-1.4559575491157439E-3</v>
      </c>
      <c r="N173">
        <f t="shared" si="35"/>
        <v>0</v>
      </c>
      <c r="AB173">
        <f t="shared" si="36"/>
        <v>0</v>
      </c>
      <c r="AC173">
        <f t="shared" si="37"/>
        <v>-2.9028234815246801E-3</v>
      </c>
      <c r="AD173">
        <f t="shared" si="38"/>
        <v>4.148666129218384E-4</v>
      </c>
      <c r="AE173">
        <f t="shared" si="29"/>
        <v>-1.4070977432334205E-3</v>
      </c>
      <c r="AF173">
        <f t="shared" si="30"/>
        <v>1.9136731069141635E-4</v>
      </c>
      <c r="AG173">
        <f t="shared" si="39"/>
        <v>-3.1058132024940708E-3</v>
      </c>
    </row>
    <row r="174" spans="1:33" x14ac:dyDescent="0.3">
      <c r="A174" s="17">
        <v>45538</v>
      </c>
      <c r="B174">
        <v>99.35</v>
      </c>
      <c r="C174">
        <v>98.6</v>
      </c>
      <c r="D174">
        <v>112.85</v>
      </c>
      <c r="E174">
        <v>111.85</v>
      </c>
      <c r="F174">
        <v>103.5</v>
      </c>
      <c r="G174">
        <v>102.6</v>
      </c>
      <c r="H174">
        <v>101</v>
      </c>
      <c r="I174">
        <v>100.1</v>
      </c>
      <c r="K174">
        <f t="shared" si="32"/>
        <v>0</v>
      </c>
      <c r="L174">
        <f t="shared" si="33"/>
        <v>0</v>
      </c>
      <c r="M174">
        <f t="shared" si="34"/>
        <v>-3.4055007371294214E-3</v>
      </c>
      <c r="N174">
        <f t="shared" si="35"/>
        <v>4.9517208241294658E-4</v>
      </c>
      <c r="AB174">
        <f t="shared" si="36"/>
        <v>-2.048033564083803E-3</v>
      </c>
      <c r="AC174">
        <f t="shared" si="37"/>
        <v>-8.3119709862808507E-4</v>
      </c>
      <c r="AD174">
        <f t="shared" si="38"/>
        <v>8.2911744290118218E-4</v>
      </c>
      <c r="AE174">
        <f t="shared" si="29"/>
        <v>-1.7159918557577343E-3</v>
      </c>
      <c r="AF174">
        <f t="shared" si="30"/>
        <v>-9.9041579168013543E-4</v>
      </c>
      <c r="AG174">
        <f t="shared" si="39"/>
        <v>-8.2418351045728954E-4</v>
      </c>
    </row>
    <row r="175" spans="1:33" x14ac:dyDescent="0.3">
      <c r="A175" s="17">
        <v>45539</v>
      </c>
      <c r="B175">
        <v>99.35</v>
      </c>
      <c r="C175">
        <v>98.6</v>
      </c>
      <c r="D175">
        <v>112.4</v>
      </c>
      <c r="E175">
        <v>111.6</v>
      </c>
      <c r="F175">
        <v>103.3</v>
      </c>
      <c r="G175">
        <v>102.5</v>
      </c>
      <c r="H175">
        <v>101.1</v>
      </c>
      <c r="I175">
        <v>100.2</v>
      </c>
      <c r="K175">
        <f t="shared" si="32"/>
        <v>0</v>
      </c>
      <c r="L175">
        <f t="shared" si="33"/>
        <v>-2.2376379889280655E-3</v>
      </c>
      <c r="M175">
        <f t="shared" si="34"/>
        <v>-9.7513415820620715E-4</v>
      </c>
      <c r="N175">
        <f t="shared" si="35"/>
        <v>9.8960918516628185E-4</v>
      </c>
      <c r="AB175">
        <f t="shared" si="36"/>
        <v>-4.2979550557496046E-5</v>
      </c>
      <c r="AC175">
        <f t="shared" si="37"/>
        <v>1.1716212676440426E-3</v>
      </c>
      <c r="AD175">
        <f t="shared" si="38"/>
        <v>-2.1565947441825549E-3</v>
      </c>
      <c r="AE175">
        <f t="shared" si="29"/>
        <v>6.0421722043994797E-4</v>
      </c>
      <c r="AF175">
        <f t="shared" si="30"/>
        <v>-9.5683702268132848E-4</v>
      </c>
      <c r="AG175">
        <f t="shared" si="39"/>
        <v>1.1597736493438018E-3</v>
      </c>
    </row>
    <row r="176" spans="1:33" x14ac:dyDescent="0.3">
      <c r="A176" s="17">
        <v>45540</v>
      </c>
      <c r="B176">
        <v>99.35</v>
      </c>
      <c r="C176">
        <v>98.55</v>
      </c>
      <c r="D176">
        <v>112.5</v>
      </c>
      <c r="E176">
        <v>111.6</v>
      </c>
      <c r="F176">
        <v>103.55</v>
      </c>
      <c r="G176">
        <v>102.65</v>
      </c>
      <c r="H176">
        <v>100.85</v>
      </c>
      <c r="I176">
        <v>99.95</v>
      </c>
      <c r="K176">
        <f t="shared" si="32"/>
        <v>-5.0722800986054031E-4</v>
      </c>
      <c r="L176">
        <f t="shared" si="33"/>
        <v>0</v>
      </c>
      <c r="M176">
        <f t="shared" si="34"/>
        <v>1.4623448864797101E-3</v>
      </c>
      <c r="N176">
        <f t="shared" si="35"/>
        <v>-2.4758616262049457E-3</v>
      </c>
      <c r="AB176">
        <f t="shared" si="36"/>
        <v>-4.3001362053253314E-5</v>
      </c>
      <c r="AC176">
        <f t="shared" si="37"/>
        <v>1.9985357371936764E-3</v>
      </c>
      <c r="AD176">
        <f t="shared" si="38"/>
        <v>-8.2302408426353528E-5</v>
      </c>
      <c r="AE176">
        <f t="shared" si="29"/>
        <v>1.0050693408308455E-3</v>
      </c>
      <c r="AF176">
        <f t="shared" si="30"/>
        <v>0</v>
      </c>
      <c r="AG176">
        <f t="shared" si="39"/>
        <v>2.2456111702722462E-3</v>
      </c>
    </row>
    <row r="177" spans="1:33" x14ac:dyDescent="0.3">
      <c r="A177" s="17">
        <v>45541</v>
      </c>
      <c r="B177">
        <v>99.3</v>
      </c>
      <c r="C177">
        <v>98.5</v>
      </c>
      <c r="D177">
        <v>112.5</v>
      </c>
      <c r="E177">
        <v>111.6</v>
      </c>
      <c r="F177">
        <v>103.8</v>
      </c>
      <c r="G177">
        <v>102.9</v>
      </c>
      <c r="H177">
        <v>100.85</v>
      </c>
      <c r="I177">
        <v>100.1</v>
      </c>
      <c r="K177">
        <f t="shared" si="32"/>
        <v>-5.0748542068595689E-4</v>
      </c>
      <c r="L177">
        <f t="shared" si="33"/>
        <v>0</v>
      </c>
      <c r="M177">
        <f t="shared" si="34"/>
        <v>2.4324993750614171E-3</v>
      </c>
      <c r="N177">
        <f t="shared" si="35"/>
        <v>0</v>
      </c>
      <c r="AB177">
        <f t="shared" si="36"/>
        <v>4.0997349751229926E-4</v>
      </c>
      <c r="AC177">
        <f t="shared" si="37"/>
        <v>-4.1428557661182547E-4</v>
      </c>
      <c r="AD177">
        <f t="shared" si="38"/>
        <v>-8.3117378610236478E-4</v>
      </c>
      <c r="AE177">
        <f t="shared" si="29"/>
        <v>6.2033227845994534E-5</v>
      </c>
      <c r="AF177">
        <f t="shared" si="30"/>
        <v>-1.085799729573201E-4</v>
      </c>
      <c r="AG177">
        <f t="shared" si="39"/>
        <v>-5.2490540063065288E-4</v>
      </c>
    </row>
    <row r="178" spans="1:33" x14ac:dyDescent="0.3">
      <c r="A178" s="17">
        <v>45544</v>
      </c>
      <c r="B178">
        <v>99.3</v>
      </c>
      <c r="C178">
        <v>98.5</v>
      </c>
      <c r="D178">
        <v>112.45</v>
      </c>
      <c r="E178">
        <v>111.65</v>
      </c>
      <c r="F178">
        <v>103.75</v>
      </c>
      <c r="G178">
        <v>102.85</v>
      </c>
      <c r="H178">
        <v>100.75</v>
      </c>
      <c r="I178">
        <v>99.85</v>
      </c>
      <c r="K178">
        <f t="shared" si="32"/>
        <v>0</v>
      </c>
      <c r="L178">
        <f t="shared" si="33"/>
        <v>4.4792833895650392E-4</v>
      </c>
      <c r="M178">
        <f t="shared" si="34"/>
        <v>-4.8602674103787524E-4</v>
      </c>
      <c r="N178">
        <f t="shared" si="35"/>
        <v>-9.9206357342836431E-4</v>
      </c>
      <c r="AB178">
        <f t="shared" si="36"/>
        <v>-7.771293540157928E-4</v>
      </c>
      <c r="AC178">
        <f t="shared" si="37"/>
        <v>1.7308441768451649E-3</v>
      </c>
      <c r="AD178">
        <f t="shared" si="38"/>
        <v>9.1347619452880309E-4</v>
      </c>
      <c r="AE178">
        <f t="shared" si="29"/>
        <v>2.7686755128454956E-4</v>
      </c>
      <c r="AF178">
        <f t="shared" si="30"/>
        <v>-1.663623233557393E-4</v>
      </c>
      <c r="AG178">
        <f t="shared" si="39"/>
        <v>1.8696547963076334E-3</v>
      </c>
    </row>
    <row r="179" spans="1:33" x14ac:dyDescent="0.3">
      <c r="A179" s="17">
        <v>45545</v>
      </c>
      <c r="B179">
        <v>99.25</v>
      </c>
      <c r="C179">
        <v>98.55</v>
      </c>
      <c r="D179">
        <v>112.45</v>
      </c>
      <c r="E179">
        <v>111.55</v>
      </c>
      <c r="F179">
        <v>103.9</v>
      </c>
      <c r="G179">
        <v>103.05</v>
      </c>
      <c r="H179">
        <v>100.85</v>
      </c>
      <c r="I179">
        <v>100.05</v>
      </c>
      <c r="K179">
        <f t="shared" si="32"/>
        <v>5.0748542068593629E-4</v>
      </c>
      <c r="L179">
        <f t="shared" si="33"/>
        <v>-8.9605740762546335E-4</v>
      </c>
      <c r="M179">
        <f t="shared" si="34"/>
        <v>1.9426912375018303E-3</v>
      </c>
      <c r="N179">
        <f t="shared" si="35"/>
        <v>9.9206357342846948E-4</v>
      </c>
      <c r="AB179">
        <f t="shared" si="36"/>
        <v>8.6311026662660767E-4</v>
      </c>
      <c r="AC179">
        <f t="shared" si="37"/>
        <v>2.5527577148602544E-3</v>
      </c>
      <c r="AD179">
        <f t="shared" si="38"/>
        <v>9.1261068835957789E-4</v>
      </c>
      <c r="AE179">
        <f t="shared" si="29"/>
        <v>1.7269375510215374E-3</v>
      </c>
      <c r="AF179">
        <f t="shared" si="30"/>
        <v>9.3278057363738133E-4</v>
      </c>
      <c r="AG179">
        <f t="shared" si="39"/>
        <v>2.759780883546818E-3</v>
      </c>
    </row>
    <row r="180" spans="1:33" x14ac:dyDescent="0.3">
      <c r="A180" s="17">
        <v>45546</v>
      </c>
      <c r="B180">
        <v>99.3</v>
      </c>
      <c r="C180">
        <v>98.6</v>
      </c>
      <c r="D180">
        <v>112.55</v>
      </c>
      <c r="E180">
        <v>111.65</v>
      </c>
      <c r="F180">
        <v>104.15</v>
      </c>
      <c r="G180">
        <v>103.35</v>
      </c>
      <c r="H180">
        <v>100.95</v>
      </c>
      <c r="I180">
        <v>100.1</v>
      </c>
      <c r="K180">
        <f t="shared" si="32"/>
        <v>5.0722800986046745E-4</v>
      </c>
      <c r="L180">
        <f t="shared" si="33"/>
        <v>8.9605740762554347E-4</v>
      </c>
      <c r="M180">
        <f t="shared" si="34"/>
        <v>2.9069787913093108E-3</v>
      </c>
      <c r="N180">
        <f t="shared" si="35"/>
        <v>9.9108035862578302E-4</v>
      </c>
      <c r="AB180">
        <f t="shared" si="36"/>
        <v>2.0471174221594001E-3</v>
      </c>
      <c r="AC180">
        <f t="shared" si="37"/>
        <v>-1.6511241135581845E-3</v>
      </c>
      <c r="AD180">
        <f t="shared" si="38"/>
        <v>-4.1507214506446326E-4</v>
      </c>
      <c r="AE180">
        <f t="shared" si="29"/>
        <v>5.1213855490396586E-4</v>
      </c>
      <c r="AF180">
        <f t="shared" si="30"/>
        <v>1.1807901298143571E-3</v>
      </c>
      <c r="AG180">
        <f t="shared" si="39"/>
        <v>-1.8262866662297227E-3</v>
      </c>
    </row>
    <row r="181" spans="1:33" x14ac:dyDescent="0.3">
      <c r="A181" s="17">
        <v>45547</v>
      </c>
      <c r="B181">
        <v>99.3</v>
      </c>
      <c r="C181">
        <v>98.6</v>
      </c>
      <c r="D181">
        <v>112.8</v>
      </c>
      <c r="E181">
        <v>111.9</v>
      </c>
      <c r="F181">
        <v>103.95</v>
      </c>
      <c r="G181">
        <v>103.15</v>
      </c>
      <c r="H181">
        <v>100.9</v>
      </c>
      <c r="I181">
        <v>100.1</v>
      </c>
      <c r="K181">
        <f t="shared" si="32"/>
        <v>0</v>
      </c>
      <c r="L181">
        <f t="shared" si="33"/>
        <v>2.2366370317126933E-3</v>
      </c>
      <c r="M181">
        <f t="shared" si="34"/>
        <v>-1.9370466105163183E-3</v>
      </c>
      <c r="N181">
        <f t="shared" si="35"/>
        <v>-4.9541739928322828E-4</v>
      </c>
      <c r="AB181">
        <f t="shared" si="36"/>
        <v>1.1830967451718633E-3</v>
      </c>
      <c r="AC181">
        <f t="shared" si="37"/>
        <v>1.5762534840549837E-3</v>
      </c>
      <c r="AD181">
        <f t="shared" si="38"/>
        <v>7.4767809564759194E-4</v>
      </c>
      <c r="AE181">
        <f t="shared" si="29"/>
        <v>1.5864464183184021E-3</v>
      </c>
      <c r="AF181">
        <f t="shared" si="30"/>
        <v>1.2047099581584831E-3</v>
      </c>
      <c r="AG181">
        <f t="shared" si="39"/>
        <v>1.8643305903074268E-3</v>
      </c>
    </row>
    <row r="182" spans="1:33" x14ac:dyDescent="0.3">
      <c r="A182" s="17">
        <v>45548</v>
      </c>
      <c r="B182">
        <v>99.35</v>
      </c>
      <c r="C182">
        <v>98.55</v>
      </c>
      <c r="D182">
        <v>113.05</v>
      </c>
      <c r="E182">
        <v>112.05</v>
      </c>
      <c r="F182">
        <v>104.15</v>
      </c>
      <c r="G182">
        <v>103.35</v>
      </c>
      <c r="H182">
        <v>101</v>
      </c>
      <c r="I182">
        <v>100.2</v>
      </c>
      <c r="K182">
        <f t="shared" si="32"/>
        <v>-5.0722800986054031E-4</v>
      </c>
      <c r="L182">
        <f t="shared" si="33"/>
        <v>1.3395849290563455E-3</v>
      </c>
      <c r="M182">
        <f t="shared" si="34"/>
        <v>1.937046610516338E-3</v>
      </c>
      <c r="N182">
        <f t="shared" si="35"/>
        <v>9.9058948169608823E-4</v>
      </c>
      <c r="AB182">
        <f t="shared" si="36"/>
        <v>0</v>
      </c>
      <c r="AC182">
        <f t="shared" si="37"/>
        <v>0</v>
      </c>
      <c r="AD182">
        <f t="shared" si="38"/>
        <v>0</v>
      </c>
      <c r="AE182">
        <f t="shared" si="29"/>
        <v>0</v>
      </c>
      <c r="AF182">
        <f t="shared" si="30"/>
        <v>0</v>
      </c>
      <c r="AG182">
        <f t="shared" si="39"/>
        <v>0</v>
      </c>
    </row>
    <row r="183" spans="1:33" x14ac:dyDescent="0.3">
      <c r="A183" s="17">
        <v>45551</v>
      </c>
      <c r="B183">
        <v>99.35</v>
      </c>
      <c r="C183">
        <v>98.55</v>
      </c>
      <c r="D183">
        <v>113.05</v>
      </c>
      <c r="E183">
        <v>112.05</v>
      </c>
      <c r="F183">
        <v>104.15</v>
      </c>
      <c r="G183">
        <v>103.35</v>
      </c>
      <c r="H183">
        <v>101</v>
      </c>
      <c r="I183">
        <v>100.2</v>
      </c>
      <c r="K183">
        <f t="shared" si="32"/>
        <v>0</v>
      </c>
      <c r="L183">
        <f t="shared" si="33"/>
        <v>0</v>
      </c>
      <c r="M183">
        <f t="shared" si="34"/>
        <v>0</v>
      </c>
      <c r="N183">
        <f t="shared" si="35"/>
        <v>0</v>
      </c>
      <c r="AB183">
        <f t="shared" si="36"/>
        <v>0</v>
      </c>
      <c r="AC183">
        <f t="shared" si="37"/>
        <v>0</v>
      </c>
      <c r="AD183">
        <f t="shared" si="38"/>
        <v>4.1466128422604063E-4</v>
      </c>
      <c r="AE183">
        <f t="shared" si="29"/>
        <v>0</v>
      </c>
      <c r="AF183">
        <f t="shared" si="30"/>
        <v>1.912725978389025E-4</v>
      </c>
      <c r="AG183">
        <f t="shared" si="39"/>
        <v>3.8025095111777682E-5</v>
      </c>
    </row>
    <row r="184" spans="1:33" x14ac:dyDescent="0.3">
      <c r="A184" s="17">
        <v>45552</v>
      </c>
      <c r="B184">
        <v>99.45</v>
      </c>
      <c r="C184">
        <v>98.55</v>
      </c>
      <c r="D184">
        <v>113.05</v>
      </c>
      <c r="E184">
        <v>112.05</v>
      </c>
      <c r="F184">
        <v>104.25</v>
      </c>
      <c r="G184">
        <v>103.35</v>
      </c>
      <c r="H184">
        <v>101.05</v>
      </c>
      <c r="I184">
        <v>100.15</v>
      </c>
      <c r="K184">
        <f t="shared" si="32"/>
        <v>0</v>
      </c>
      <c r="L184">
        <f t="shared" si="33"/>
        <v>0</v>
      </c>
      <c r="M184">
        <f t="shared" si="34"/>
        <v>0</v>
      </c>
      <c r="N184">
        <f t="shared" si="35"/>
        <v>4.9492700837056643E-4</v>
      </c>
      <c r="AB184">
        <f t="shared" si="36"/>
        <v>9.4534598945695094E-4</v>
      </c>
      <c r="AC184">
        <f t="shared" si="37"/>
        <v>1.0488622946896056E-3</v>
      </c>
      <c r="AD184">
        <f t="shared" si="38"/>
        <v>-2.2443947912703685E-3</v>
      </c>
      <c r="AE184">
        <f t="shared" si="29"/>
        <v>9.2307319826825419E-4</v>
      </c>
      <c r="AF184">
        <f t="shared" si="30"/>
        <v>-6.017488237168181E-4</v>
      </c>
      <c r="AG184">
        <f t="shared" si="39"/>
        <v>6.6438129136372256E-4</v>
      </c>
    </row>
    <row r="185" spans="1:33" x14ac:dyDescent="0.3">
      <c r="A185" s="17">
        <v>45553</v>
      </c>
      <c r="B185">
        <v>99.5</v>
      </c>
      <c r="C185">
        <v>98.7</v>
      </c>
      <c r="D185">
        <v>113.15</v>
      </c>
      <c r="E185">
        <v>112.15</v>
      </c>
      <c r="F185">
        <v>104.25</v>
      </c>
      <c r="G185">
        <v>103.45</v>
      </c>
      <c r="H185">
        <v>100.75</v>
      </c>
      <c r="I185">
        <v>99.95</v>
      </c>
      <c r="K185">
        <f t="shared" si="32"/>
        <v>1.5209128407067448E-3</v>
      </c>
      <c r="L185">
        <f t="shared" si="33"/>
        <v>8.9206071928147896E-4</v>
      </c>
      <c r="M185">
        <f t="shared" si="34"/>
        <v>9.6711806377482005E-4</v>
      </c>
      <c r="N185">
        <f t="shared" si="35"/>
        <v>-2.9732430228376142E-3</v>
      </c>
      <c r="AB185">
        <f t="shared" si="36"/>
        <v>2.166678480054494E-3</v>
      </c>
      <c r="AC185">
        <f t="shared" si="37"/>
        <v>2.281586460599705E-3</v>
      </c>
      <c r="AD185">
        <f t="shared" si="38"/>
        <v>1.4927340110082177E-3</v>
      </c>
      <c r="AE185">
        <f t="shared" si="29"/>
        <v>2.3039561401298836E-3</v>
      </c>
      <c r="AF185">
        <f t="shared" si="30"/>
        <v>1.9410972539160177E-3</v>
      </c>
      <c r="AG185">
        <f t="shared" si="39"/>
        <v>2.3425679288574422E-3</v>
      </c>
    </row>
    <row r="186" spans="1:33" x14ac:dyDescent="0.3">
      <c r="A186" s="17">
        <v>45554</v>
      </c>
      <c r="B186">
        <v>99.65</v>
      </c>
      <c r="C186">
        <v>98.85</v>
      </c>
      <c r="D186">
        <v>113.3</v>
      </c>
      <c r="E186">
        <v>112.4</v>
      </c>
      <c r="F186">
        <v>104.5</v>
      </c>
      <c r="G186">
        <v>103.7</v>
      </c>
      <c r="H186">
        <v>100.9</v>
      </c>
      <c r="I186">
        <v>100.1</v>
      </c>
      <c r="K186">
        <f t="shared" si="32"/>
        <v>1.518603177189838E-3</v>
      </c>
      <c r="L186">
        <f t="shared" si="33"/>
        <v>2.2266764933733794E-3</v>
      </c>
      <c r="M186">
        <f t="shared" si="34"/>
        <v>2.4137110439296284E-3</v>
      </c>
      <c r="N186">
        <f t="shared" si="35"/>
        <v>1.4877265327709898E-3</v>
      </c>
      <c r="AB186">
        <f t="shared" si="36"/>
        <v>9.2558697561566112E-3</v>
      </c>
      <c r="AC186">
        <f t="shared" si="37"/>
        <v>9.1834741751327022E-3</v>
      </c>
      <c r="AD186">
        <f t="shared" si="38"/>
        <v>5.2094530858840266E-3</v>
      </c>
      <c r="AE186">
        <f t="shared" si="29"/>
        <v>9.8775408509612431E-3</v>
      </c>
      <c r="AF186">
        <f t="shared" si="30"/>
        <v>8.0760276155483843E-3</v>
      </c>
      <c r="AG186">
        <f t="shared" si="39"/>
        <v>9.718083997249086E-3</v>
      </c>
    </row>
    <row r="187" spans="1:33" x14ac:dyDescent="0.3">
      <c r="A187" s="17">
        <v>45555</v>
      </c>
      <c r="B187">
        <v>100.15</v>
      </c>
      <c r="C187">
        <v>99.25</v>
      </c>
      <c r="D187">
        <v>114.5</v>
      </c>
      <c r="E187">
        <v>113.5</v>
      </c>
      <c r="F187">
        <v>105.65</v>
      </c>
      <c r="G187">
        <v>104.75</v>
      </c>
      <c r="H187">
        <v>101.45</v>
      </c>
      <c r="I187">
        <v>100.55</v>
      </c>
      <c r="K187">
        <f t="shared" si="32"/>
        <v>4.0383699506739467E-3</v>
      </c>
      <c r="L187">
        <f t="shared" si="33"/>
        <v>9.7388994618666062E-3</v>
      </c>
      <c r="M187">
        <f t="shared" si="34"/>
        <v>1.0074443566765446E-2</v>
      </c>
      <c r="N187">
        <f t="shared" si="35"/>
        <v>5.4361389122604253E-3</v>
      </c>
      <c r="AB187">
        <f t="shared" si="36"/>
        <v>-2.3797311404217753E-3</v>
      </c>
      <c r="AC187">
        <f t="shared" si="37"/>
        <v>-4.8221335070303042E-3</v>
      </c>
      <c r="AD187">
        <f t="shared" si="38"/>
        <v>-2.813785963882352E-3</v>
      </c>
      <c r="AE187">
        <f t="shared" si="29"/>
        <v>-3.9265988567762176E-3</v>
      </c>
      <c r="AF187">
        <f t="shared" si="30"/>
        <v>-2.9594263650735341E-3</v>
      </c>
      <c r="AG187">
        <f t="shared" si="39"/>
        <v>-5.5685700959002349E-3</v>
      </c>
    </row>
    <row r="188" spans="1:33" x14ac:dyDescent="0.3">
      <c r="A188" s="17">
        <v>45558</v>
      </c>
      <c r="B188">
        <v>100.2</v>
      </c>
      <c r="C188">
        <v>99.3</v>
      </c>
      <c r="D188">
        <v>114.1</v>
      </c>
      <c r="E188">
        <v>113.2</v>
      </c>
      <c r="F188">
        <v>104.95</v>
      </c>
      <c r="G188">
        <v>104.15</v>
      </c>
      <c r="H188">
        <v>101.1</v>
      </c>
      <c r="I188">
        <v>100.3</v>
      </c>
      <c r="K188">
        <f t="shared" si="32"/>
        <v>5.0365148382708531E-4</v>
      </c>
      <c r="L188">
        <f t="shared" si="33"/>
        <v>-2.6466711523747601E-3</v>
      </c>
      <c r="M188">
        <f t="shared" si="34"/>
        <v>-5.7443910952660751E-3</v>
      </c>
      <c r="N188">
        <f t="shared" si="35"/>
        <v>-3.4559402453980879E-3</v>
      </c>
      <c r="AB188">
        <f t="shared" si="36"/>
        <v>8.0818179016465381E-4</v>
      </c>
      <c r="AC188">
        <f t="shared" si="37"/>
        <v>4.0911570600543141E-4</v>
      </c>
      <c r="AD188">
        <f t="shared" si="38"/>
        <v>-8.2911744290117915E-4</v>
      </c>
      <c r="AE188">
        <f t="shared" si="29"/>
        <v>7.1647239556657842E-4</v>
      </c>
      <c r="AF188">
        <f t="shared" si="30"/>
        <v>1.593010913008242E-4</v>
      </c>
      <c r="AG188">
        <f t="shared" si="39"/>
        <v>3.670549242254154E-4</v>
      </c>
    </row>
    <row r="189" spans="1:33" x14ac:dyDescent="0.3">
      <c r="A189" s="17">
        <v>45559</v>
      </c>
      <c r="B189">
        <v>100.1</v>
      </c>
      <c r="C189">
        <v>99.3</v>
      </c>
      <c r="D189">
        <v>114.2</v>
      </c>
      <c r="E189">
        <v>113.3</v>
      </c>
      <c r="F189">
        <v>105</v>
      </c>
      <c r="G189">
        <v>104.2</v>
      </c>
      <c r="H189">
        <v>101</v>
      </c>
      <c r="I189">
        <v>100.2</v>
      </c>
      <c r="K189">
        <f t="shared" si="32"/>
        <v>0</v>
      </c>
      <c r="L189">
        <f t="shared" si="33"/>
        <v>8.8300226487807762E-4</v>
      </c>
      <c r="M189">
        <f t="shared" si="34"/>
        <v>4.799616122854747E-4</v>
      </c>
      <c r="N189">
        <f t="shared" si="35"/>
        <v>-9.8960918516627816E-4</v>
      </c>
      <c r="AB189">
        <f t="shared" si="36"/>
        <v>8.5288564933348203E-5</v>
      </c>
      <c r="AC189">
        <f t="shared" si="37"/>
        <v>1.4857318103974715E-4</v>
      </c>
      <c r="AD189">
        <f t="shared" si="38"/>
        <v>1.406606631577311E-3</v>
      </c>
      <c r="AE189">
        <f t="shared" si="29"/>
        <v>0</v>
      </c>
      <c r="AF189">
        <f t="shared" si="30"/>
        <v>5.7353402964226434E-4</v>
      </c>
      <c r="AG189">
        <f t="shared" si="39"/>
        <v>1.1401887292478967E-4</v>
      </c>
    </row>
    <row r="190" spans="1:33" x14ac:dyDescent="0.3">
      <c r="A190" s="17">
        <v>45560</v>
      </c>
      <c r="B190">
        <v>100.2</v>
      </c>
      <c r="C190">
        <v>99.4</v>
      </c>
      <c r="D190">
        <v>114.3</v>
      </c>
      <c r="E190">
        <v>113.3</v>
      </c>
      <c r="F190">
        <v>105.1</v>
      </c>
      <c r="G190">
        <v>104.2</v>
      </c>
      <c r="H190">
        <v>101.15</v>
      </c>
      <c r="I190">
        <v>100.25</v>
      </c>
      <c r="K190">
        <f t="shared" si="32"/>
        <v>1.0065426114014722E-3</v>
      </c>
      <c r="L190">
        <f t="shared" si="33"/>
        <v>0</v>
      </c>
      <c r="M190">
        <f t="shared" si="34"/>
        <v>0</v>
      </c>
      <c r="N190">
        <f t="shared" si="35"/>
        <v>1.4840467724950225E-3</v>
      </c>
      <c r="AB190">
        <f t="shared" si="36"/>
        <v>-2.1070826671335079E-3</v>
      </c>
      <c r="AC190">
        <f t="shared" si="37"/>
        <v>-6.7181051769428313E-3</v>
      </c>
      <c r="AD190">
        <f t="shared" si="38"/>
        <v>-3.0673070914209858E-3</v>
      </c>
      <c r="AE190">
        <f t="shared" si="29"/>
        <v>-4.4807356384332546E-3</v>
      </c>
      <c r="AF190">
        <f t="shared" si="30"/>
        <v>-2.6948496555251611E-3</v>
      </c>
      <c r="AG190">
        <f t="shared" si="39"/>
        <v>-7.3813356034620704E-3</v>
      </c>
    </row>
    <row r="191" spans="1:33" x14ac:dyDescent="0.3">
      <c r="A191" s="17">
        <v>45561</v>
      </c>
      <c r="B191">
        <v>100.1</v>
      </c>
      <c r="C191">
        <v>99.3</v>
      </c>
      <c r="D191">
        <v>114.05</v>
      </c>
      <c r="E191">
        <v>113.05</v>
      </c>
      <c r="F191">
        <v>104.3</v>
      </c>
      <c r="G191">
        <v>103.4</v>
      </c>
      <c r="H191">
        <v>100.8</v>
      </c>
      <c r="I191">
        <v>99.9</v>
      </c>
      <c r="K191">
        <f t="shared" si="32"/>
        <v>-1.0065426114015058E-3</v>
      </c>
      <c r="L191">
        <f t="shared" si="33"/>
        <v>-2.2089693099818083E-3</v>
      </c>
      <c r="M191">
        <f t="shared" si="34"/>
        <v>-7.7071672449377784E-3</v>
      </c>
      <c r="N191">
        <f t="shared" si="35"/>
        <v>-3.466207976486284E-3</v>
      </c>
      <c r="AB191">
        <f t="shared" si="36"/>
        <v>-8.9534430121856697E-4</v>
      </c>
      <c r="AC191">
        <f t="shared" si="37"/>
        <v>2.6335958554391735E-4</v>
      </c>
      <c r="AD191">
        <f t="shared" si="38"/>
        <v>1.0824314226968912E-3</v>
      </c>
      <c r="AE191">
        <f t="shared" si="29"/>
        <v>-3.1955595137862802E-4</v>
      </c>
      <c r="AF191">
        <f t="shared" si="30"/>
        <v>3.172091471068182E-5</v>
      </c>
      <c r="AG191">
        <f t="shared" si="39"/>
        <v>5.6054433561971914E-4</v>
      </c>
    </row>
    <row r="192" spans="1:33" x14ac:dyDescent="0.3">
      <c r="A192" s="17">
        <v>45562</v>
      </c>
      <c r="B192">
        <v>100</v>
      </c>
      <c r="C192">
        <v>99.2</v>
      </c>
      <c r="D192">
        <v>113.95</v>
      </c>
      <c r="E192">
        <v>112.95</v>
      </c>
      <c r="F192">
        <v>104.25</v>
      </c>
      <c r="G192">
        <v>103.45</v>
      </c>
      <c r="H192">
        <v>100.95</v>
      </c>
      <c r="I192">
        <v>100.05</v>
      </c>
      <c r="K192">
        <f t="shared" si="32"/>
        <v>-1.0075567602997166E-3</v>
      </c>
      <c r="L192">
        <f t="shared" si="33"/>
        <v>-8.8495580996649132E-4</v>
      </c>
      <c r="M192">
        <f t="shared" si="34"/>
        <v>4.83442117223153E-4</v>
      </c>
      <c r="N192">
        <f t="shared" si="35"/>
        <v>1.4869891215783665E-3</v>
      </c>
      <c r="AB192">
        <f t="shared" si="36"/>
        <v>-6.8265771432628837E-4</v>
      </c>
      <c r="AC192">
        <f t="shared" si="37"/>
        <v>-2.6657414402186897E-3</v>
      </c>
      <c r="AD192">
        <f t="shared" si="38"/>
        <v>1.9032772306135078E-3</v>
      </c>
      <c r="AE192">
        <f t="shared" si="29"/>
        <v>-1.9200517208512551E-3</v>
      </c>
      <c r="AF192">
        <f t="shared" si="30"/>
        <v>2.2147019412739252E-4</v>
      </c>
      <c r="AG192">
        <f t="shared" si="39"/>
        <v>-2.9765734960698598E-3</v>
      </c>
    </row>
    <row r="193" spans="1:33" x14ac:dyDescent="0.3">
      <c r="A193" s="17">
        <v>45565</v>
      </c>
      <c r="B193">
        <v>100.15</v>
      </c>
      <c r="C193">
        <v>99.35</v>
      </c>
      <c r="D193">
        <v>113.75</v>
      </c>
      <c r="E193">
        <v>112.85</v>
      </c>
      <c r="F193">
        <v>103.9</v>
      </c>
      <c r="G193">
        <v>103.1</v>
      </c>
      <c r="H193">
        <v>101.15</v>
      </c>
      <c r="I193">
        <v>100.25</v>
      </c>
      <c r="K193">
        <f t="shared" si="32"/>
        <v>1.510954706998703E-3</v>
      </c>
      <c r="L193">
        <f t="shared" si="33"/>
        <v>-8.8573965046761214E-4</v>
      </c>
      <c r="M193">
        <f t="shared" si="34"/>
        <v>-3.3890131686378695E-3</v>
      </c>
      <c r="N193">
        <f t="shared" si="35"/>
        <v>1.9792188549079626E-3</v>
      </c>
      <c r="AB193">
        <f t="shared" si="36"/>
        <v>-2.0725201564314811E-3</v>
      </c>
      <c r="AC193">
        <f t="shared" si="37"/>
        <v>-3.8028813449977094E-3</v>
      </c>
      <c r="AD193">
        <f t="shared" si="38"/>
        <v>-2.9857086533103452E-3</v>
      </c>
      <c r="AE193">
        <f t="shared" si="29"/>
        <v>-3.1088019002256922E-3</v>
      </c>
      <c r="AF193">
        <f t="shared" si="30"/>
        <v>-2.700259948042706E-3</v>
      </c>
      <c r="AG193">
        <f t="shared" si="39"/>
        <v>-4.3044831465183977E-3</v>
      </c>
    </row>
    <row r="194" spans="1:33" x14ac:dyDescent="0.3">
      <c r="A194" s="17">
        <v>45566</v>
      </c>
      <c r="B194">
        <v>100.05</v>
      </c>
      <c r="C194">
        <v>99.3</v>
      </c>
      <c r="D194">
        <v>113.5</v>
      </c>
      <c r="E194">
        <v>112.6</v>
      </c>
      <c r="F194">
        <v>103.45</v>
      </c>
      <c r="G194">
        <v>102.65</v>
      </c>
      <c r="H194">
        <v>100.8</v>
      </c>
      <c r="I194">
        <v>99.8</v>
      </c>
      <c r="K194">
        <f t="shared" si="32"/>
        <v>-5.033979466988899E-4</v>
      </c>
      <c r="L194">
        <f t="shared" si="33"/>
        <v>-2.2177875579546587E-3</v>
      </c>
      <c r="M194">
        <f t="shared" si="34"/>
        <v>-4.3742475579715365E-3</v>
      </c>
      <c r="N194">
        <f t="shared" si="35"/>
        <v>-3.466207976486284E-3</v>
      </c>
      <c r="AB194">
        <f t="shared" si="36"/>
        <v>-4.1159623378183912E-3</v>
      </c>
      <c r="AC194">
        <f t="shared" si="37"/>
        <v>-5.4890216738815046E-3</v>
      </c>
      <c r="AD194">
        <f t="shared" si="38"/>
        <v>-4.6656533629516727E-3</v>
      </c>
      <c r="AE194">
        <f t="shared" si="29"/>
        <v>-5.2362383096903782E-3</v>
      </c>
      <c r="AF194">
        <f t="shared" si="30"/>
        <v>-4.8449305261943814E-3</v>
      </c>
      <c r="AG194">
        <f t="shared" si="39"/>
        <v>-6.2846400829559305E-3</v>
      </c>
    </row>
    <row r="195" spans="1:33" x14ac:dyDescent="0.3">
      <c r="A195" s="17">
        <v>45567</v>
      </c>
      <c r="B195">
        <v>100</v>
      </c>
      <c r="C195">
        <v>99.25</v>
      </c>
      <c r="D195">
        <v>113.1</v>
      </c>
      <c r="E195">
        <v>112.1</v>
      </c>
      <c r="F195">
        <v>102.9</v>
      </c>
      <c r="G195">
        <v>102</v>
      </c>
      <c r="H195">
        <v>100.25</v>
      </c>
      <c r="I195">
        <v>99.45</v>
      </c>
      <c r="K195">
        <f t="shared" si="32"/>
        <v>-5.0365148382712824E-4</v>
      </c>
      <c r="L195">
        <f t="shared" si="33"/>
        <v>-4.4503856274758034E-3</v>
      </c>
      <c r="M195">
        <f t="shared" si="34"/>
        <v>-6.3523301806715747E-3</v>
      </c>
      <c r="N195">
        <f t="shared" si="35"/>
        <v>-5.4712894505896548E-3</v>
      </c>
      <c r="AB195">
        <f t="shared" ref="AB195:AB258" si="40">K196*$S$108+L196*$T$108</f>
        <v>-3.0758301035816974E-3</v>
      </c>
      <c r="AC195">
        <f t="shared" ref="AC195:AC258" si="41">K196*$S$109+M196*$T$109</f>
        <v>-2.8830072164847888E-3</v>
      </c>
      <c r="AD195">
        <f t="shared" ref="AD195:AD258" si="42">K196*$S$110+N196*$T$110</f>
        <v>-4.1782894094171694E-3</v>
      </c>
      <c r="AE195">
        <f t="shared" ref="AE195:AE258" si="43">L196*$S$111+M196*$T$111</f>
        <v>-3.0520680439675299E-3</v>
      </c>
      <c r="AF195">
        <f t="shared" ref="AF195:AF258" si="44">L196*$S$112+N196*$T$112</f>
        <v>-3.6572457214612102E-3</v>
      </c>
      <c r="AG195">
        <f t="shared" si="39"/>
        <v>-3.0648553884613577E-3</v>
      </c>
    </row>
    <row r="196" spans="1:33" x14ac:dyDescent="0.3">
      <c r="A196" s="17">
        <v>45568</v>
      </c>
      <c r="B196">
        <v>99.8</v>
      </c>
      <c r="C196">
        <v>99</v>
      </c>
      <c r="D196">
        <v>112.65</v>
      </c>
      <c r="E196">
        <v>111.75</v>
      </c>
      <c r="F196">
        <v>102.6</v>
      </c>
      <c r="G196">
        <v>101.7</v>
      </c>
      <c r="H196">
        <v>99.8</v>
      </c>
      <c r="I196">
        <v>98.9</v>
      </c>
      <c r="K196">
        <f t="shared" ref="K196:K259" si="45">LN(C196/C195)</f>
        <v>-2.522069432709835E-3</v>
      </c>
      <c r="L196">
        <f t="shared" ref="L196:L259" si="46">LN(E196/E195)</f>
        <v>-3.1270965844359812E-3</v>
      </c>
      <c r="M196">
        <f t="shared" ref="M196:M259" si="47">LN(G196/G195)</f>
        <v>-2.9455102297568031E-3</v>
      </c>
      <c r="N196">
        <f t="shared" ref="N196:N259" si="48">LN(H196/H195)</f>
        <v>-4.4988828692603521E-3</v>
      </c>
      <c r="AB196">
        <f t="shared" si="40"/>
        <v>-1.6395272057944266E-3</v>
      </c>
      <c r="AC196">
        <f t="shared" si="41"/>
        <v>-2.097939914824023E-3</v>
      </c>
      <c r="AD196">
        <f t="shared" si="42"/>
        <v>1.677324099119982E-3</v>
      </c>
      <c r="AE196">
        <f t="shared" si="43"/>
        <v>-2.0681144299256639E-3</v>
      </c>
      <c r="AF196">
        <f t="shared" si="44"/>
        <v>-3.253241827664246E-4</v>
      </c>
      <c r="AG196">
        <f t="shared" ref="AG196:AG259" si="49">M197*$S$113+N197*$T$113</f>
        <v>-2.1183274206019193E-3</v>
      </c>
    </row>
    <row r="197" spans="1:33" x14ac:dyDescent="0.3">
      <c r="A197" s="17">
        <v>45569</v>
      </c>
      <c r="B197">
        <v>99.8</v>
      </c>
      <c r="C197">
        <v>99</v>
      </c>
      <c r="D197">
        <v>112.55</v>
      </c>
      <c r="E197">
        <v>111.55</v>
      </c>
      <c r="F197">
        <v>102.2</v>
      </c>
      <c r="G197">
        <v>101.45</v>
      </c>
      <c r="H197">
        <v>100</v>
      </c>
      <c r="I197">
        <v>99.2</v>
      </c>
      <c r="K197">
        <f t="shared" si="45"/>
        <v>0</v>
      </c>
      <c r="L197">
        <f t="shared" si="46"/>
        <v>-1.7913126151366989E-3</v>
      </c>
      <c r="M197">
        <f t="shared" si="47"/>
        <v>-2.4612367826905711E-3</v>
      </c>
      <c r="N197">
        <f t="shared" si="48"/>
        <v>2.0020026706731903E-3</v>
      </c>
      <c r="AB197">
        <f t="shared" si="40"/>
        <v>-2.2249009903168569E-3</v>
      </c>
      <c r="AC197">
        <f t="shared" si="41"/>
        <v>-8.3180964140841408E-3</v>
      </c>
      <c r="AD197">
        <f t="shared" si="42"/>
        <v>-4.5275848393286564E-3</v>
      </c>
      <c r="AE197">
        <f t="shared" si="43"/>
        <v>-5.2039907414005628E-3</v>
      </c>
      <c r="AF197">
        <f t="shared" si="44"/>
        <v>-3.3137410405260203E-3</v>
      </c>
      <c r="AG197">
        <f t="shared" si="49"/>
        <v>-9.0706109981801945E-3</v>
      </c>
    </row>
    <row r="198" spans="1:33" x14ac:dyDescent="0.3">
      <c r="A198" s="17">
        <v>45572</v>
      </c>
      <c r="B198">
        <v>99.6</v>
      </c>
      <c r="C198">
        <v>98.8</v>
      </c>
      <c r="D198">
        <v>112.3</v>
      </c>
      <c r="E198">
        <v>111.3</v>
      </c>
      <c r="F198">
        <v>101.5</v>
      </c>
      <c r="G198">
        <v>100.5</v>
      </c>
      <c r="H198">
        <v>99.5</v>
      </c>
      <c r="I198">
        <v>98.6</v>
      </c>
      <c r="K198">
        <f t="shared" si="45"/>
        <v>-2.022245380767809E-3</v>
      </c>
      <c r="L198">
        <f t="shared" si="46"/>
        <v>-2.2436625970423795E-3</v>
      </c>
      <c r="M198">
        <f t="shared" si="47"/>
        <v>-9.4083387726933716E-3</v>
      </c>
      <c r="N198">
        <f t="shared" si="48"/>
        <v>-5.0125418235442863E-3</v>
      </c>
      <c r="AB198">
        <f t="shared" si="40"/>
        <v>-8.4322784239871402E-3</v>
      </c>
      <c r="AC198">
        <f t="shared" si="41"/>
        <v>1.8186432427028433E-3</v>
      </c>
      <c r="AD198">
        <f t="shared" si="42"/>
        <v>-3.2862603407491286E-4</v>
      </c>
      <c r="AE198">
        <f t="shared" si="43"/>
        <v>-4.2696668841524397E-3</v>
      </c>
      <c r="AF198">
        <f t="shared" si="44"/>
        <v>-5.537345565416958E-3</v>
      </c>
      <c r="AG198">
        <f t="shared" si="49"/>
        <v>2.2935919795252992E-3</v>
      </c>
    </row>
    <row r="199" spans="1:33" x14ac:dyDescent="0.3">
      <c r="A199" s="17">
        <v>45573</v>
      </c>
      <c r="B199">
        <v>99.4</v>
      </c>
      <c r="C199">
        <v>98.6</v>
      </c>
      <c r="D199">
        <v>111.3</v>
      </c>
      <c r="E199">
        <v>110.3</v>
      </c>
      <c r="F199">
        <v>101.65</v>
      </c>
      <c r="G199">
        <v>100.75</v>
      </c>
      <c r="H199">
        <v>99.5</v>
      </c>
      <c r="I199">
        <v>98.5</v>
      </c>
      <c r="K199">
        <f t="shared" si="45"/>
        <v>-2.0263431452324726E-3</v>
      </c>
      <c r="L199">
        <f t="shared" si="46"/>
        <v>-9.0253320220424066E-3</v>
      </c>
      <c r="M199">
        <f t="shared" si="47"/>
        <v>2.4844733276619658E-3</v>
      </c>
      <c r="N199">
        <f t="shared" si="48"/>
        <v>0</v>
      </c>
      <c r="AB199">
        <f t="shared" si="40"/>
        <v>3.983909410195558E-3</v>
      </c>
      <c r="AC199">
        <f t="shared" si="41"/>
        <v>7.1900750819132468E-3</v>
      </c>
      <c r="AD199">
        <f t="shared" si="42"/>
        <v>3.0149889409066609E-3</v>
      </c>
      <c r="AE199">
        <f t="shared" si="43"/>
        <v>5.6571186987149375E-3</v>
      </c>
      <c r="AF199">
        <f t="shared" si="44"/>
        <v>3.6614637772575099E-3</v>
      </c>
      <c r="AG199">
        <f t="shared" si="49"/>
        <v>7.5327332075252589E-3</v>
      </c>
    </row>
    <row r="200" spans="1:33" x14ac:dyDescent="0.3">
      <c r="A200" s="17">
        <v>45574</v>
      </c>
      <c r="B200">
        <v>99.7</v>
      </c>
      <c r="C200">
        <v>98.9</v>
      </c>
      <c r="D200">
        <v>111.65</v>
      </c>
      <c r="E200">
        <v>110.75</v>
      </c>
      <c r="F200">
        <v>102.45</v>
      </c>
      <c r="G200">
        <v>101.55</v>
      </c>
      <c r="H200">
        <v>99.8</v>
      </c>
      <c r="I200">
        <v>98.8</v>
      </c>
      <c r="K200">
        <f t="shared" si="45"/>
        <v>3.0379770200768012E-3</v>
      </c>
      <c r="L200">
        <f t="shared" si="46"/>
        <v>4.0714826657882999E-3</v>
      </c>
      <c r="M200">
        <f t="shared" si="47"/>
        <v>7.9090871996013151E-3</v>
      </c>
      <c r="N200">
        <f t="shared" si="48"/>
        <v>3.0105391528712842E-3</v>
      </c>
      <c r="AB200">
        <f t="shared" si="40"/>
        <v>1.9780144293700262E-3</v>
      </c>
      <c r="AC200">
        <f t="shared" si="41"/>
        <v>5.706191860114806E-3</v>
      </c>
      <c r="AD200">
        <f t="shared" si="42"/>
        <v>1.5132604611284991E-3</v>
      </c>
      <c r="AE200">
        <f t="shared" si="43"/>
        <v>4.1615176745299284E-3</v>
      </c>
      <c r="AF200">
        <f t="shared" si="44"/>
        <v>2.1570976867634445E-3</v>
      </c>
      <c r="AG200">
        <f t="shared" si="49"/>
        <v>6.4955379919832482E-3</v>
      </c>
    </row>
    <row r="201" spans="1:33" x14ac:dyDescent="0.3">
      <c r="A201" s="17">
        <v>45575</v>
      </c>
      <c r="B201">
        <v>99.7</v>
      </c>
      <c r="C201">
        <v>98.8</v>
      </c>
      <c r="D201">
        <v>111.9</v>
      </c>
      <c r="E201">
        <v>111</v>
      </c>
      <c r="F201">
        <v>103.15</v>
      </c>
      <c r="G201">
        <v>102.25</v>
      </c>
      <c r="H201">
        <v>100</v>
      </c>
      <c r="I201">
        <v>99.15</v>
      </c>
      <c r="K201">
        <f t="shared" si="45"/>
        <v>-1.0116338748443737E-3</v>
      </c>
      <c r="L201">
        <f t="shared" si="46"/>
        <v>2.2547923870890828E-3</v>
      </c>
      <c r="M201">
        <f t="shared" si="47"/>
        <v>6.8695068965174003E-3</v>
      </c>
      <c r="N201">
        <f t="shared" si="48"/>
        <v>2.0020026706731903E-3</v>
      </c>
      <c r="AB201">
        <f t="shared" si="40"/>
        <v>8.5719968977082014E-5</v>
      </c>
      <c r="AC201">
        <f t="shared" si="41"/>
        <v>2.6465702952143217E-3</v>
      </c>
      <c r="AD201">
        <f t="shared" si="42"/>
        <v>2.2560075654675907E-3</v>
      </c>
      <c r="AE201">
        <f t="shared" si="43"/>
        <v>1.2105002865590638E-3</v>
      </c>
      <c r="AF201">
        <f t="shared" si="44"/>
        <v>9.6495999207765271E-4</v>
      </c>
      <c r="AG201">
        <f t="shared" si="49"/>
        <v>2.896436978014289E-3</v>
      </c>
    </row>
    <row r="202" spans="1:33" x14ac:dyDescent="0.3">
      <c r="A202" s="17">
        <v>45576</v>
      </c>
      <c r="B202">
        <v>99.8</v>
      </c>
      <c r="C202">
        <v>98.9</v>
      </c>
      <c r="D202">
        <v>112</v>
      </c>
      <c r="E202">
        <v>111</v>
      </c>
      <c r="F202">
        <v>103.45</v>
      </c>
      <c r="G202">
        <v>102.55</v>
      </c>
      <c r="H202">
        <v>100.25</v>
      </c>
      <c r="I202">
        <v>99.25</v>
      </c>
      <c r="K202">
        <f t="shared" si="45"/>
        <v>1.0116338748444476E-3</v>
      </c>
      <c r="L202">
        <f t="shared" si="46"/>
        <v>0</v>
      </c>
      <c r="M202">
        <f t="shared" si="47"/>
        <v>2.9296895954785264E-3</v>
      </c>
      <c r="N202">
        <f t="shared" si="48"/>
        <v>2.4968801985871458E-3</v>
      </c>
      <c r="AB202">
        <f t="shared" si="40"/>
        <v>8.6702008514135786E-4</v>
      </c>
      <c r="AC202">
        <f t="shared" si="41"/>
        <v>-1.5894114987189802E-3</v>
      </c>
      <c r="AD202">
        <f t="shared" si="42"/>
        <v>-1.1725698309713059E-3</v>
      </c>
      <c r="AE202">
        <f t="shared" si="43"/>
        <v>-2.781807719973822E-4</v>
      </c>
      <c r="AF202">
        <f t="shared" si="44"/>
        <v>-2.6202565232126638E-5</v>
      </c>
      <c r="AG202">
        <f t="shared" si="49"/>
        <v>-1.9172308348392308E-3</v>
      </c>
    </row>
    <row r="203" spans="1:33" x14ac:dyDescent="0.3">
      <c r="A203" s="17">
        <v>45579</v>
      </c>
      <c r="B203">
        <v>99.85</v>
      </c>
      <c r="C203">
        <v>98.95</v>
      </c>
      <c r="D203">
        <v>112.1</v>
      </c>
      <c r="E203">
        <v>111.1</v>
      </c>
      <c r="F203">
        <v>103.25</v>
      </c>
      <c r="G203">
        <v>102.35</v>
      </c>
      <c r="H203">
        <v>100.1</v>
      </c>
      <c r="I203">
        <v>99.2</v>
      </c>
      <c r="K203">
        <f t="shared" si="45"/>
        <v>5.0543341990828502E-4</v>
      </c>
      <c r="L203">
        <f t="shared" si="46"/>
        <v>9.0049533325016592E-4</v>
      </c>
      <c r="M203">
        <f t="shared" si="47"/>
        <v>-1.952172411091095E-3</v>
      </c>
      <c r="N203">
        <f t="shared" si="48"/>
        <v>-1.4973798655037282E-3</v>
      </c>
      <c r="AB203">
        <f t="shared" si="40"/>
        <v>0</v>
      </c>
      <c r="AC203">
        <f t="shared" si="41"/>
        <v>0</v>
      </c>
      <c r="AD203">
        <f t="shared" si="42"/>
        <v>8.3656832479894229E-4</v>
      </c>
      <c r="AE203">
        <f t="shared" si="43"/>
        <v>0</v>
      </c>
      <c r="AF203">
        <f t="shared" si="44"/>
        <v>3.8588747693842139E-4</v>
      </c>
      <c r="AG203">
        <f t="shared" si="49"/>
        <v>7.6714637532062621E-5</v>
      </c>
    </row>
    <row r="204" spans="1:33" x14ac:dyDescent="0.3">
      <c r="A204" s="17">
        <v>45580</v>
      </c>
      <c r="B204">
        <v>99.75</v>
      </c>
      <c r="C204">
        <v>98.95</v>
      </c>
      <c r="D204">
        <v>112</v>
      </c>
      <c r="E204">
        <v>111.1</v>
      </c>
      <c r="F204">
        <v>103.15</v>
      </c>
      <c r="G204">
        <v>102.35</v>
      </c>
      <c r="H204">
        <v>100.2</v>
      </c>
      <c r="I204">
        <v>99.2</v>
      </c>
      <c r="K204">
        <f t="shared" si="45"/>
        <v>0</v>
      </c>
      <c r="L204">
        <f t="shared" si="46"/>
        <v>0</v>
      </c>
      <c r="M204">
        <f t="shared" si="47"/>
        <v>0</v>
      </c>
      <c r="N204">
        <f t="shared" si="48"/>
        <v>9.9850232958960004E-4</v>
      </c>
      <c r="AB204">
        <f t="shared" si="40"/>
        <v>-7.3860250748154126E-4</v>
      </c>
      <c r="AC204">
        <f t="shared" si="41"/>
        <v>-2.6741393447688876E-4</v>
      </c>
      <c r="AD204">
        <f t="shared" si="42"/>
        <v>-1.0913508824612218E-3</v>
      </c>
      <c r="AE204">
        <f t="shared" si="43"/>
        <v>-7.303230293457827E-4</v>
      </c>
      <c r="AF204">
        <f t="shared" si="44"/>
        <v>-1.1314600579494004E-3</v>
      </c>
      <c r="AG204">
        <f t="shared" si="49"/>
        <v>-5.6619784925599067E-4</v>
      </c>
    </row>
    <row r="205" spans="1:33" x14ac:dyDescent="0.3">
      <c r="A205" s="17">
        <v>45581</v>
      </c>
      <c r="B205">
        <v>99.85</v>
      </c>
      <c r="C205">
        <v>99.05</v>
      </c>
      <c r="D205">
        <v>111.9</v>
      </c>
      <c r="E205">
        <v>111</v>
      </c>
      <c r="F205">
        <v>103.2</v>
      </c>
      <c r="G205">
        <v>102.3</v>
      </c>
      <c r="H205">
        <v>100.05</v>
      </c>
      <c r="I205">
        <v>99.05</v>
      </c>
      <c r="K205">
        <f t="shared" si="45"/>
        <v>1.0101010959850379E-3</v>
      </c>
      <c r="L205">
        <f t="shared" si="46"/>
        <v>-9.0049533325009513E-4</v>
      </c>
      <c r="M205">
        <f t="shared" si="47"/>
        <v>-4.8863914971771058E-4</v>
      </c>
      <c r="N205">
        <f t="shared" si="48"/>
        <v>-1.4981276210221032E-3</v>
      </c>
      <c r="AB205">
        <f t="shared" si="40"/>
        <v>4.1218907154309668E-4</v>
      </c>
      <c r="AC205">
        <f t="shared" si="41"/>
        <v>8.3282132379814766E-4</v>
      </c>
      <c r="AD205">
        <f t="shared" si="42"/>
        <v>-2.096130959965845E-3</v>
      </c>
      <c r="AE205">
        <f t="shared" si="43"/>
        <v>6.6796906098497751E-4</v>
      </c>
      <c r="AF205">
        <f t="shared" si="44"/>
        <v>-6.9058704630985005E-4</v>
      </c>
      <c r="AG205">
        <f t="shared" si="49"/>
        <v>7.0975545991925335E-4</v>
      </c>
    </row>
    <row r="206" spans="1:33" x14ac:dyDescent="0.3">
      <c r="A206" s="17">
        <v>45582</v>
      </c>
      <c r="B206">
        <v>99.85</v>
      </c>
      <c r="C206">
        <v>99.05</v>
      </c>
      <c r="D206">
        <v>112.05</v>
      </c>
      <c r="E206">
        <v>111.05</v>
      </c>
      <c r="F206">
        <v>103.3</v>
      </c>
      <c r="G206">
        <v>102.4</v>
      </c>
      <c r="H206">
        <v>99.8</v>
      </c>
      <c r="I206">
        <v>98.9</v>
      </c>
      <c r="K206">
        <f t="shared" si="45"/>
        <v>0</v>
      </c>
      <c r="L206">
        <f t="shared" si="46"/>
        <v>4.5034902810219799E-4</v>
      </c>
      <c r="M206">
        <f t="shared" si="47"/>
        <v>9.7703964782661188E-4</v>
      </c>
      <c r="N206">
        <f t="shared" si="48"/>
        <v>-2.5018777123240982E-3</v>
      </c>
      <c r="AB206">
        <f t="shared" si="40"/>
        <v>1.5613124106256043E-3</v>
      </c>
      <c r="AC206">
        <f t="shared" si="41"/>
        <v>2.6700728337522735E-4</v>
      </c>
      <c r="AD206">
        <f t="shared" si="42"/>
        <v>-2.6861143255196432E-3</v>
      </c>
      <c r="AE206">
        <f t="shared" si="43"/>
        <v>1.257600540070463E-3</v>
      </c>
      <c r="AF206">
        <f t="shared" si="44"/>
        <v>-5.9497245321695619E-5</v>
      </c>
      <c r="AG206">
        <f t="shared" si="49"/>
        <v>2.1935790256492419E-4</v>
      </c>
    </row>
    <row r="207" spans="1:33" x14ac:dyDescent="0.3">
      <c r="A207" s="17">
        <v>45583</v>
      </c>
      <c r="B207">
        <v>99.75</v>
      </c>
      <c r="C207">
        <v>98.95</v>
      </c>
      <c r="D207">
        <v>112.25</v>
      </c>
      <c r="E207">
        <v>111.25</v>
      </c>
      <c r="F207">
        <v>103.25</v>
      </c>
      <c r="G207">
        <v>102.45</v>
      </c>
      <c r="H207">
        <v>99.5</v>
      </c>
      <c r="I207">
        <v>98.7</v>
      </c>
      <c r="K207">
        <f t="shared" si="45"/>
        <v>-1.010101095985194E-3</v>
      </c>
      <c r="L207">
        <f t="shared" si="46"/>
        <v>1.7993707059132679E-3</v>
      </c>
      <c r="M207">
        <f t="shared" si="47"/>
        <v>4.8816207950135119E-4</v>
      </c>
      <c r="N207">
        <f t="shared" si="48"/>
        <v>-3.0105391528711519E-3</v>
      </c>
      <c r="AB207">
        <f t="shared" si="40"/>
        <v>-5.3999534732232144E-4</v>
      </c>
      <c r="AC207">
        <f t="shared" si="41"/>
        <v>-1.0563450967835365E-3</v>
      </c>
      <c r="AD207">
        <f t="shared" si="42"/>
        <v>1.4363430242228374E-3</v>
      </c>
      <c r="AE207">
        <f t="shared" si="43"/>
        <v>-6.6729674057808589E-4</v>
      </c>
      <c r="AF207">
        <f t="shared" si="44"/>
        <v>5.0022948188120078E-4</v>
      </c>
      <c r="AG207">
        <f t="shared" si="49"/>
        <v>-7.472570006104406E-4</v>
      </c>
    </row>
    <row r="208" spans="1:33" x14ac:dyDescent="0.3">
      <c r="A208" s="17">
        <v>45586</v>
      </c>
      <c r="B208">
        <v>99.6</v>
      </c>
      <c r="C208">
        <v>98.8</v>
      </c>
      <c r="D208">
        <v>112.1</v>
      </c>
      <c r="E208">
        <v>111.2</v>
      </c>
      <c r="F208">
        <v>103.25</v>
      </c>
      <c r="G208">
        <v>102.35</v>
      </c>
      <c r="H208">
        <v>99.7</v>
      </c>
      <c r="I208">
        <v>98.8</v>
      </c>
      <c r="K208">
        <f t="shared" si="45"/>
        <v>-1.5170672947526886E-3</v>
      </c>
      <c r="L208">
        <f t="shared" si="46"/>
        <v>-4.4953922986758931E-4</v>
      </c>
      <c r="M208">
        <f t="shared" si="47"/>
        <v>-9.7656257761028127E-4</v>
      </c>
      <c r="N208">
        <f t="shared" si="48"/>
        <v>2.0080328032456131E-3</v>
      </c>
      <c r="AB208">
        <f t="shared" si="40"/>
        <v>-1.2783471353345083E-3</v>
      </c>
      <c r="AC208">
        <f t="shared" si="41"/>
        <v>-1.0549077386743011E-2</v>
      </c>
      <c r="AD208">
        <f t="shared" si="42"/>
        <v>-1.3435594947839144E-3</v>
      </c>
      <c r="AE208">
        <f t="shared" si="43"/>
        <v>-5.8693824223516452E-3</v>
      </c>
      <c r="AF208">
        <f t="shared" si="44"/>
        <v>-1.4100487117140515E-3</v>
      </c>
      <c r="AG208">
        <f t="shared" si="49"/>
        <v>-1.1459766762897403E-2</v>
      </c>
    </row>
    <row r="209" spans="1:33" x14ac:dyDescent="0.3">
      <c r="A209" s="17">
        <v>45587</v>
      </c>
      <c r="B209">
        <v>99.55</v>
      </c>
      <c r="C209">
        <v>98.75</v>
      </c>
      <c r="D209">
        <v>112.05</v>
      </c>
      <c r="E209">
        <v>111.05</v>
      </c>
      <c r="F209">
        <v>101.9</v>
      </c>
      <c r="G209">
        <v>101.1</v>
      </c>
      <c r="H209">
        <v>99.55</v>
      </c>
      <c r="I209">
        <v>98.65</v>
      </c>
      <c r="K209">
        <f t="shared" si="45"/>
        <v>-5.0620097259084407E-4</v>
      </c>
      <c r="L209">
        <f t="shared" si="46"/>
        <v>-1.3498314760455993E-3</v>
      </c>
      <c r="M209">
        <f t="shared" si="47"/>
        <v>-1.2288186080872775E-2</v>
      </c>
      <c r="N209">
        <f t="shared" si="48"/>
        <v>-1.5056464575874601E-3</v>
      </c>
      <c r="AB209">
        <f t="shared" si="40"/>
        <v>-7.3765096094900347E-3</v>
      </c>
      <c r="AC209">
        <f t="shared" si="41"/>
        <v>-3.5551514188824789E-3</v>
      </c>
      <c r="AD209">
        <f t="shared" si="42"/>
        <v>-4.4540854318547386E-3</v>
      </c>
      <c r="AE209">
        <f t="shared" si="43"/>
        <v>-5.9417829228463562E-3</v>
      </c>
      <c r="AF209">
        <f t="shared" si="44"/>
        <v>-6.4651005465225187E-3</v>
      </c>
      <c r="AG209">
        <f t="shared" si="49"/>
        <v>-3.5495693573045807E-3</v>
      </c>
    </row>
    <row r="210" spans="1:33" x14ac:dyDescent="0.3">
      <c r="A210" s="17">
        <v>45588</v>
      </c>
      <c r="B210">
        <v>99.25</v>
      </c>
      <c r="C210">
        <v>98.35</v>
      </c>
      <c r="D210">
        <v>111.2</v>
      </c>
      <c r="E210">
        <v>110.2</v>
      </c>
      <c r="F210">
        <v>101.65</v>
      </c>
      <c r="G210">
        <v>100.75</v>
      </c>
      <c r="H210">
        <v>99.1</v>
      </c>
      <c r="I210">
        <v>98.2</v>
      </c>
      <c r="K210">
        <f t="shared" si="45"/>
        <v>-4.0588589461632843E-3</v>
      </c>
      <c r="L210">
        <f t="shared" si="46"/>
        <v>-7.6836536216223061E-3</v>
      </c>
      <c r="M210">
        <f t="shared" si="47"/>
        <v>-3.4679251996333586E-3</v>
      </c>
      <c r="N210">
        <f t="shared" si="48"/>
        <v>-4.5305891742630309E-3</v>
      </c>
      <c r="AB210">
        <f t="shared" si="40"/>
        <v>-4.1536910987122232E-4</v>
      </c>
      <c r="AC210">
        <f t="shared" si="41"/>
        <v>2.5343702231136484E-3</v>
      </c>
      <c r="AD210">
        <f t="shared" si="42"/>
        <v>4.2165318372530975E-3</v>
      </c>
      <c r="AE210">
        <f t="shared" si="43"/>
        <v>9.621848939048741E-4</v>
      </c>
      <c r="AF210">
        <f t="shared" si="44"/>
        <v>1.6665418107217639E-3</v>
      </c>
      <c r="AG210">
        <f t="shared" si="49"/>
        <v>3.1314722775953874E-3</v>
      </c>
    </row>
    <row r="211" spans="1:33" x14ac:dyDescent="0.3">
      <c r="A211" s="17">
        <v>45589</v>
      </c>
      <c r="B211">
        <v>99.25</v>
      </c>
      <c r="C211">
        <v>98.35</v>
      </c>
      <c r="D211">
        <v>111.15</v>
      </c>
      <c r="E211">
        <v>110.15</v>
      </c>
      <c r="F211">
        <v>101.95</v>
      </c>
      <c r="G211">
        <v>101.05</v>
      </c>
      <c r="H211">
        <v>99.6</v>
      </c>
      <c r="I211">
        <v>98.6</v>
      </c>
      <c r="K211">
        <f t="shared" si="45"/>
        <v>0</v>
      </c>
      <c r="L211">
        <f t="shared" si="46"/>
        <v>-4.5382347046195711E-4</v>
      </c>
      <c r="M211">
        <f t="shared" si="47"/>
        <v>2.9732430228375933E-3</v>
      </c>
      <c r="N211">
        <f t="shared" si="48"/>
        <v>5.0327232546101986E-3</v>
      </c>
      <c r="AB211">
        <f t="shared" si="40"/>
        <v>1.3746774210361553E-3</v>
      </c>
      <c r="AC211">
        <f t="shared" si="41"/>
        <v>2.3311884612920203E-3</v>
      </c>
      <c r="AD211">
        <f t="shared" si="42"/>
        <v>2.4715812605440528E-4</v>
      </c>
      <c r="AE211">
        <f t="shared" si="43"/>
        <v>1.8195342973428494E-3</v>
      </c>
      <c r="AF211">
        <f t="shared" si="44"/>
        <v>8.3492921565879452E-4</v>
      </c>
      <c r="AG211">
        <f t="shared" si="49"/>
        <v>2.2811237128986879E-3</v>
      </c>
    </row>
    <row r="212" spans="1:33" x14ac:dyDescent="0.3">
      <c r="A212" s="17">
        <v>45590</v>
      </c>
      <c r="B212">
        <v>99.4</v>
      </c>
      <c r="C212">
        <v>98.5</v>
      </c>
      <c r="D212">
        <v>111.3</v>
      </c>
      <c r="E212">
        <v>110.3</v>
      </c>
      <c r="F212">
        <v>102.2</v>
      </c>
      <c r="G212">
        <v>101.3</v>
      </c>
      <c r="H212">
        <v>99.6</v>
      </c>
      <c r="I212">
        <v>98.7</v>
      </c>
      <c r="K212">
        <f t="shared" si="45"/>
        <v>1.5240033429751948E-3</v>
      </c>
      <c r="L212">
        <f t="shared" si="46"/>
        <v>1.3608530111045452E-3</v>
      </c>
      <c r="M212">
        <f t="shared" si="47"/>
        <v>2.4709674050076651E-3</v>
      </c>
      <c r="N212">
        <f t="shared" si="48"/>
        <v>0</v>
      </c>
      <c r="AB212">
        <f t="shared" si="40"/>
        <v>-5.1645953911546305E-3</v>
      </c>
      <c r="AC212">
        <f t="shared" si="41"/>
        <v>-5.7870870347658471E-3</v>
      </c>
      <c r="AD212">
        <f t="shared" si="42"/>
        <v>9.0860450705126548E-5</v>
      </c>
      <c r="AE212">
        <f t="shared" si="43"/>
        <v>-5.8605947795107721E-3</v>
      </c>
      <c r="AF212">
        <f t="shared" si="44"/>
        <v>-3.1525953885426887E-3</v>
      </c>
      <c r="AG212">
        <f t="shared" si="49"/>
        <v>-5.9041270077876242E-3</v>
      </c>
    </row>
    <row r="213" spans="1:33" x14ac:dyDescent="0.3">
      <c r="A213" s="17">
        <v>45593</v>
      </c>
      <c r="B213">
        <v>99.2</v>
      </c>
      <c r="C213">
        <v>98.3</v>
      </c>
      <c r="D213">
        <v>110.7</v>
      </c>
      <c r="E213">
        <v>109.7</v>
      </c>
      <c r="F213">
        <v>101.55</v>
      </c>
      <c r="G213">
        <v>100.65</v>
      </c>
      <c r="H213">
        <v>99.65</v>
      </c>
      <c r="I213">
        <v>98.75</v>
      </c>
      <c r="K213">
        <f t="shared" si="45"/>
        <v>-2.0325210249223578E-3</v>
      </c>
      <c r="L213">
        <f t="shared" si="46"/>
        <v>-5.4545589782722037E-3</v>
      </c>
      <c r="M213">
        <f t="shared" si="47"/>
        <v>-6.4372591688370744E-3</v>
      </c>
      <c r="N213">
        <f t="shared" si="48"/>
        <v>5.0188206825118188E-4</v>
      </c>
      <c r="AB213">
        <f t="shared" si="40"/>
        <v>-9.2095925584077169E-4</v>
      </c>
      <c r="AC213">
        <f t="shared" si="41"/>
        <v>-3.5445369782158066E-3</v>
      </c>
      <c r="AD213">
        <f t="shared" si="42"/>
        <v>-5.8555394761984061E-4</v>
      </c>
      <c r="AE213">
        <f t="shared" si="43"/>
        <v>-2.1805055208410375E-3</v>
      </c>
      <c r="AF213">
        <f t="shared" si="44"/>
        <v>-7.5349881265384137E-4</v>
      </c>
      <c r="AG213">
        <f t="shared" si="49"/>
        <v>-3.7147028720511343E-3</v>
      </c>
    </row>
    <row r="214" spans="1:33" x14ac:dyDescent="0.3">
      <c r="A214" s="17">
        <v>45594</v>
      </c>
      <c r="B214">
        <v>99</v>
      </c>
      <c r="C214">
        <v>98.2</v>
      </c>
      <c r="D214">
        <v>110.5</v>
      </c>
      <c r="E214">
        <v>109.6</v>
      </c>
      <c r="F214">
        <v>101.15</v>
      </c>
      <c r="G214">
        <v>100.25</v>
      </c>
      <c r="H214">
        <v>99.6</v>
      </c>
      <c r="I214">
        <v>98.6</v>
      </c>
      <c r="K214">
        <f t="shared" si="45"/>
        <v>-1.0178117927006035E-3</v>
      </c>
      <c r="L214">
        <f t="shared" si="46"/>
        <v>-9.1199276726946197E-4</v>
      </c>
      <c r="M214">
        <f t="shared" si="47"/>
        <v>-3.982085899121959E-3</v>
      </c>
      <c r="N214">
        <f t="shared" si="48"/>
        <v>-5.0188206825131372E-4</v>
      </c>
      <c r="AB214">
        <f t="shared" si="40"/>
        <v>-2.6814753755475839E-3</v>
      </c>
      <c r="AC214">
        <f t="shared" si="41"/>
        <v>-1.5772881620421749E-3</v>
      </c>
      <c r="AD214">
        <f t="shared" si="42"/>
        <v>-7.5133551629238439E-4</v>
      </c>
      <c r="AE214">
        <f t="shared" si="43"/>
        <v>-2.2271441755810691E-3</v>
      </c>
      <c r="AF214">
        <f t="shared" si="44"/>
        <v>-1.8757411445990285E-3</v>
      </c>
      <c r="AG214">
        <f t="shared" si="49"/>
        <v>-1.4209154273136112E-3</v>
      </c>
    </row>
    <row r="215" spans="1:33" x14ac:dyDescent="0.3">
      <c r="A215" s="17">
        <v>45595</v>
      </c>
      <c r="B215">
        <v>98.9</v>
      </c>
      <c r="C215">
        <v>98</v>
      </c>
      <c r="D215">
        <v>110.3</v>
      </c>
      <c r="E215">
        <v>109.3</v>
      </c>
      <c r="F215">
        <v>101</v>
      </c>
      <c r="G215">
        <v>100.1</v>
      </c>
      <c r="H215">
        <v>99.55</v>
      </c>
      <c r="I215">
        <v>98.55</v>
      </c>
      <c r="K215">
        <f t="shared" si="45"/>
        <v>-2.0387366898483171E-3</v>
      </c>
      <c r="L215">
        <f t="shared" si="46"/>
        <v>-2.7409793314222934E-3</v>
      </c>
      <c r="M215">
        <f t="shared" si="47"/>
        <v>-1.4973798655037282E-3</v>
      </c>
      <c r="N215">
        <f t="shared" si="48"/>
        <v>-5.0213408034725847E-4</v>
      </c>
      <c r="AB215">
        <f t="shared" si="40"/>
        <v>2.8969196363059098E-3</v>
      </c>
      <c r="AC215">
        <f t="shared" si="41"/>
        <v>5.3468937117943241E-3</v>
      </c>
      <c r="AD215">
        <f t="shared" si="42"/>
        <v>2.8443736601000964E-3</v>
      </c>
      <c r="AE215">
        <f t="shared" si="43"/>
        <v>3.8724775683846441E-3</v>
      </c>
      <c r="AF215">
        <f t="shared" si="44"/>
        <v>2.650999731646655E-3</v>
      </c>
      <c r="AG215">
        <f t="shared" si="49"/>
        <v>5.2511806722755922E-3</v>
      </c>
    </row>
    <row r="216" spans="1:33" x14ac:dyDescent="0.3">
      <c r="A216" s="17">
        <v>45596</v>
      </c>
      <c r="B216">
        <v>99.25</v>
      </c>
      <c r="C216">
        <v>98.45</v>
      </c>
      <c r="D216">
        <v>110.6</v>
      </c>
      <c r="E216">
        <v>109.6</v>
      </c>
      <c r="F216">
        <v>101.55</v>
      </c>
      <c r="G216">
        <v>100.65</v>
      </c>
      <c r="H216">
        <v>99.8</v>
      </c>
      <c r="I216">
        <v>98.9</v>
      </c>
      <c r="K216">
        <f t="shared" si="45"/>
        <v>4.5813264145627376E-3</v>
      </c>
      <c r="L216">
        <f t="shared" si="46"/>
        <v>2.7409793314222665E-3</v>
      </c>
      <c r="M216">
        <f t="shared" si="47"/>
        <v>5.4794657646257908E-3</v>
      </c>
      <c r="N216">
        <f t="shared" si="48"/>
        <v>2.5081528072129163E-3</v>
      </c>
      <c r="AB216">
        <f t="shared" si="40"/>
        <v>3.2051045811284547E-3</v>
      </c>
      <c r="AC216">
        <f t="shared" si="41"/>
        <v>-1.4963477886884846E-3</v>
      </c>
      <c r="AD216">
        <f t="shared" si="42"/>
        <v>2.2674448278100479E-3</v>
      </c>
      <c r="AE216">
        <f t="shared" si="43"/>
        <v>1.5215338088445636E-3</v>
      </c>
      <c r="AF216">
        <f t="shared" si="44"/>
        <v>3.3950776938343362E-3</v>
      </c>
      <c r="AG216">
        <f t="shared" si="49"/>
        <v>-1.1462342938251934E-3</v>
      </c>
    </row>
    <row r="217" spans="1:33" x14ac:dyDescent="0.3">
      <c r="A217" s="17">
        <v>45597</v>
      </c>
      <c r="B217">
        <v>99.1</v>
      </c>
      <c r="C217">
        <v>98.3</v>
      </c>
      <c r="D217">
        <v>111</v>
      </c>
      <c r="E217">
        <v>110</v>
      </c>
      <c r="F217">
        <v>101.4</v>
      </c>
      <c r="G217">
        <v>100.5</v>
      </c>
      <c r="H217">
        <v>100.1</v>
      </c>
      <c r="I217">
        <v>99.1</v>
      </c>
      <c r="K217">
        <f t="shared" si="45"/>
        <v>-1.5247779320136923E-3</v>
      </c>
      <c r="L217">
        <f t="shared" si="46"/>
        <v>3.6429912785012298E-3</v>
      </c>
      <c r="M217">
        <f t="shared" si="47"/>
        <v>-1.4914245866701316E-3</v>
      </c>
      <c r="N217">
        <f t="shared" si="48"/>
        <v>3.001503003756558E-3</v>
      </c>
      <c r="AB217">
        <f t="shared" si="40"/>
        <v>-2.9168523322254739E-3</v>
      </c>
      <c r="AC217">
        <f t="shared" si="41"/>
        <v>2.540665240428795E-3</v>
      </c>
      <c r="AD217">
        <f t="shared" si="42"/>
        <v>-4.1859761434166038E-4</v>
      </c>
      <c r="AE217">
        <f t="shared" si="43"/>
        <v>-6.3857194992530432E-4</v>
      </c>
      <c r="AF217">
        <f t="shared" si="44"/>
        <v>-2.1483533850113483E-3</v>
      </c>
      <c r="AG217">
        <f t="shared" si="49"/>
        <v>2.713241300413539E-3</v>
      </c>
    </row>
    <row r="218" spans="1:33" x14ac:dyDescent="0.3">
      <c r="A218" s="17">
        <v>45600</v>
      </c>
      <c r="B218">
        <v>99.2</v>
      </c>
      <c r="C218">
        <v>98.3</v>
      </c>
      <c r="D218">
        <v>110.65</v>
      </c>
      <c r="E218">
        <v>109.65</v>
      </c>
      <c r="F218">
        <v>101.7</v>
      </c>
      <c r="G218">
        <v>100.8</v>
      </c>
      <c r="H218">
        <v>100.05</v>
      </c>
      <c r="I218">
        <v>99.15</v>
      </c>
      <c r="K218">
        <f t="shared" si="45"/>
        <v>0</v>
      </c>
      <c r="L218">
        <f t="shared" si="46"/>
        <v>-3.186890928519019E-3</v>
      </c>
      <c r="M218">
        <f t="shared" si="47"/>
        <v>2.9806281381377199E-3</v>
      </c>
      <c r="N218">
        <f t="shared" si="48"/>
        <v>-4.9962529143241278E-4</v>
      </c>
      <c r="AB218">
        <f t="shared" si="40"/>
        <v>8.7742418198428422E-4</v>
      </c>
      <c r="AC218">
        <f t="shared" si="41"/>
        <v>3.4508775144294298E-3</v>
      </c>
      <c r="AD218">
        <f t="shared" si="42"/>
        <v>9.1945600851424218E-4</v>
      </c>
      <c r="AE218">
        <f t="shared" si="43"/>
        <v>2.171301835714669E-3</v>
      </c>
      <c r="AF218">
        <f t="shared" si="44"/>
        <v>9.4536351550684333E-4</v>
      </c>
      <c r="AG218">
        <f t="shared" si="49"/>
        <v>3.7328777230255321E-3</v>
      </c>
    </row>
    <row r="219" spans="1:33" x14ac:dyDescent="0.3">
      <c r="A219" s="17">
        <v>45601</v>
      </c>
      <c r="B219">
        <v>99.25</v>
      </c>
      <c r="C219">
        <v>98.35</v>
      </c>
      <c r="D219">
        <v>110.75</v>
      </c>
      <c r="E219">
        <v>109.75</v>
      </c>
      <c r="F219">
        <v>102.1</v>
      </c>
      <c r="G219">
        <v>101.2</v>
      </c>
      <c r="H219">
        <v>100.15</v>
      </c>
      <c r="I219">
        <v>99.15</v>
      </c>
      <c r="K219">
        <f t="shared" si="45"/>
        <v>5.0851768194728954E-4</v>
      </c>
      <c r="L219">
        <f t="shared" si="46"/>
        <v>9.1157709138355719E-4</v>
      </c>
      <c r="M219">
        <f t="shared" si="47"/>
        <v>3.9604012160969143E-3</v>
      </c>
      <c r="N219">
        <f t="shared" si="48"/>
        <v>9.9900108208483308E-4</v>
      </c>
      <c r="AB219">
        <f t="shared" si="40"/>
        <v>-2.1566359849643871E-4</v>
      </c>
      <c r="AC219">
        <f t="shared" si="41"/>
        <v>-6.2921690153953831E-3</v>
      </c>
      <c r="AD219">
        <f t="shared" si="42"/>
        <v>-1.2497552923890292E-3</v>
      </c>
      <c r="AE219">
        <f t="shared" si="43"/>
        <v>-2.8679209003176741E-3</v>
      </c>
      <c r="AF219">
        <f t="shared" si="44"/>
        <v>-3.8608022795795049E-4</v>
      </c>
      <c r="AG219">
        <f t="shared" si="49"/>
        <v>-6.4845050862437524E-3</v>
      </c>
    </row>
    <row r="220" spans="1:33" x14ac:dyDescent="0.3">
      <c r="A220" s="17">
        <v>45602</v>
      </c>
      <c r="B220">
        <v>99</v>
      </c>
      <c r="C220">
        <v>98.1</v>
      </c>
      <c r="D220">
        <v>110.65</v>
      </c>
      <c r="E220">
        <v>109.75</v>
      </c>
      <c r="F220">
        <v>101.4</v>
      </c>
      <c r="G220">
        <v>100.5</v>
      </c>
      <c r="H220">
        <v>100.05</v>
      </c>
      <c r="I220">
        <v>99.15</v>
      </c>
      <c r="K220">
        <f t="shared" si="45"/>
        <v>-2.5451782637506536E-3</v>
      </c>
      <c r="L220">
        <f t="shared" si="46"/>
        <v>0</v>
      </c>
      <c r="M220">
        <f t="shared" si="47"/>
        <v>-6.9410293542347999E-3</v>
      </c>
      <c r="N220">
        <f t="shared" si="48"/>
        <v>-9.9900108208490659E-4</v>
      </c>
      <c r="AB220">
        <f t="shared" si="40"/>
        <v>3.3046327179418977E-4</v>
      </c>
      <c r="AC220">
        <f t="shared" si="41"/>
        <v>4.079701652607094E-3</v>
      </c>
      <c r="AD220">
        <f t="shared" si="42"/>
        <v>-1.8418872672306972E-3</v>
      </c>
      <c r="AE220">
        <f t="shared" si="43"/>
        <v>2.3178255220888009E-3</v>
      </c>
      <c r="AF220">
        <f t="shared" si="44"/>
        <v>-4.938688960245451E-4</v>
      </c>
      <c r="AG220">
        <f t="shared" si="49"/>
        <v>4.427763384756451E-3</v>
      </c>
    </row>
    <row r="221" spans="1:33" x14ac:dyDescent="0.3">
      <c r="A221" s="17">
        <v>45603</v>
      </c>
      <c r="B221">
        <v>98.8</v>
      </c>
      <c r="C221">
        <v>98</v>
      </c>
      <c r="D221">
        <v>110.8</v>
      </c>
      <c r="E221">
        <v>109.8</v>
      </c>
      <c r="F221">
        <v>101.9</v>
      </c>
      <c r="G221">
        <v>101</v>
      </c>
      <c r="H221">
        <v>99.85</v>
      </c>
      <c r="I221">
        <v>98.85</v>
      </c>
      <c r="K221">
        <f t="shared" si="45"/>
        <v>-1.0198879007454116E-3</v>
      </c>
      <c r="L221">
        <f t="shared" si="46"/>
        <v>4.5547712014959191E-4</v>
      </c>
      <c r="M221">
        <f t="shared" si="47"/>
        <v>4.9627893421290972E-3</v>
      </c>
      <c r="N221">
        <f t="shared" si="48"/>
        <v>-2.0010011679181716E-3</v>
      </c>
      <c r="AB221">
        <f t="shared" si="40"/>
        <v>3.2149568610159982E-3</v>
      </c>
      <c r="AC221">
        <f t="shared" si="41"/>
        <v>6.4135234619669438E-3</v>
      </c>
      <c r="AD221">
        <f t="shared" si="42"/>
        <v>1.8358495076092941E-3</v>
      </c>
      <c r="AE221">
        <f t="shared" si="43"/>
        <v>4.7213406597565021E-3</v>
      </c>
      <c r="AF221">
        <f t="shared" si="44"/>
        <v>2.5327328019569247E-3</v>
      </c>
      <c r="AG221">
        <f t="shared" si="49"/>
        <v>6.4914709536847822E-3</v>
      </c>
    </row>
    <row r="222" spans="1:33" x14ac:dyDescent="0.3">
      <c r="A222" s="17">
        <v>45604</v>
      </c>
      <c r="B222">
        <v>99.25</v>
      </c>
      <c r="C222">
        <v>98.35</v>
      </c>
      <c r="D222">
        <v>111.15</v>
      </c>
      <c r="E222">
        <v>110.15</v>
      </c>
      <c r="F222">
        <v>102.6</v>
      </c>
      <c r="G222">
        <v>101.7</v>
      </c>
      <c r="H222">
        <v>100</v>
      </c>
      <c r="I222">
        <v>99</v>
      </c>
      <c r="K222">
        <f t="shared" si="45"/>
        <v>3.5650661644961446E-3</v>
      </c>
      <c r="L222">
        <f t="shared" si="46"/>
        <v>3.1825441729218581E-3</v>
      </c>
      <c r="M222">
        <f t="shared" si="47"/>
        <v>6.9067862132548225E-3</v>
      </c>
      <c r="N222">
        <f t="shared" si="48"/>
        <v>1.5011261262671913E-3</v>
      </c>
      <c r="AB222">
        <f t="shared" si="40"/>
        <v>1.2913517679594337E-4</v>
      </c>
      <c r="AC222">
        <f t="shared" si="41"/>
        <v>2.3177432992392884E-3</v>
      </c>
      <c r="AD222">
        <f t="shared" si="42"/>
        <v>6.6596498690033935E-4</v>
      </c>
      <c r="AE222">
        <f t="shared" si="43"/>
        <v>1.0144463781853134E-3</v>
      </c>
      <c r="AF222">
        <f t="shared" si="44"/>
        <v>1.9318484583453398E-4</v>
      </c>
      <c r="AG222">
        <f t="shared" si="49"/>
        <v>2.3049673935203038E-3</v>
      </c>
    </row>
    <row r="223" spans="1:33" x14ac:dyDescent="0.3">
      <c r="A223" s="17">
        <v>45607</v>
      </c>
      <c r="B223">
        <v>99.3</v>
      </c>
      <c r="C223">
        <v>98.5</v>
      </c>
      <c r="D223">
        <v>111.15</v>
      </c>
      <c r="E223">
        <v>110.15</v>
      </c>
      <c r="F223">
        <v>102.8</v>
      </c>
      <c r="G223">
        <v>101.95</v>
      </c>
      <c r="H223">
        <v>100.05</v>
      </c>
      <c r="I223">
        <v>99.15</v>
      </c>
      <c r="K223">
        <f t="shared" si="45"/>
        <v>1.5240033429751948E-3</v>
      </c>
      <c r="L223">
        <f t="shared" si="46"/>
        <v>0</v>
      </c>
      <c r="M223">
        <f t="shared" si="47"/>
        <v>2.4551939659498575E-3</v>
      </c>
      <c r="N223">
        <f t="shared" si="48"/>
        <v>4.9987504165099287E-4</v>
      </c>
      <c r="AB223">
        <f t="shared" si="40"/>
        <v>6.301580261676437E-4</v>
      </c>
      <c r="AC223">
        <f t="shared" si="41"/>
        <v>-1.0564884151283361E-2</v>
      </c>
      <c r="AD223">
        <f t="shared" si="42"/>
        <v>-3.7864243352184806E-3</v>
      </c>
      <c r="AE223">
        <f t="shared" si="43"/>
        <v>-5.0362192926984356E-3</v>
      </c>
      <c r="AF223">
        <f t="shared" si="44"/>
        <v>-1.6577718339048338E-3</v>
      </c>
      <c r="AG223">
        <f t="shared" si="49"/>
        <v>-1.2232282010852033E-2</v>
      </c>
    </row>
    <row r="224" spans="1:33" x14ac:dyDescent="0.3">
      <c r="A224" s="17">
        <v>45608</v>
      </c>
      <c r="B224">
        <v>99.5</v>
      </c>
      <c r="C224">
        <v>98.75</v>
      </c>
      <c r="D224">
        <v>111.2</v>
      </c>
      <c r="E224">
        <v>110.2</v>
      </c>
      <c r="F224">
        <v>101.45</v>
      </c>
      <c r="G224">
        <v>100.65</v>
      </c>
      <c r="H224">
        <v>99.55</v>
      </c>
      <c r="I224">
        <v>98.65</v>
      </c>
      <c r="K224">
        <f t="shared" si="45"/>
        <v>2.5348556031881157E-3</v>
      </c>
      <c r="L224">
        <f t="shared" si="46"/>
        <v>4.538234704618714E-4</v>
      </c>
      <c r="M224">
        <f t="shared" si="47"/>
        <v>-1.2833344934663609E-2</v>
      </c>
      <c r="N224">
        <f t="shared" si="48"/>
        <v>-5.0100305195370639E-3</v>
      </c>
      <c r="AB224">
        <f t="shared" si="40"/>
        <v>-9.0961868866013453E-3</v>
      </c>
      <c r="AC224">
        <f t="shared" si="41"/>
        <v>9.95867614263477E-4</v>
      </c>
      <c r="AD224">
        <f t="shared" si="42"/>
        <v>-3.6316856354238645E-3</v>
      </c>
      <c r="AE224">
        <f t="shared" si="43"/>
        <v>-5.4766307176011587E-3</v>
      </c>
      <c r="AF224">
        <f t="shared" si="44"/>
        <v>-7.905892625567042E-3</v>
      </c>
      <c r="AG224">
        <f t="shared" si="49"/>
        <v>5.6866927990306259E-4</v>
      </c>
    </row>
    <row r="225" spans="1:33" x14ac:dyDescent="0.3">
      <c r="A225" s="17">
        <v>45609</v>
      </c>
      <c r="B225">
        <v>99.45</v>
      </c>
      <c r="C225">
        <v>98.85</v>
      </c>
      <c r="D225">
        <v>109.9</v>
      </c>
      <c r="E225">
        <v>109.1</v>
      </c>
      <c r="F225">
        <v>101.55</v>
      </c>
      <c r="G225">
        <v>100.75</v>
      </c>
      <c r="H225">
        <v>99.1</v>
      </c>
      <c r="I225">
        <v>98.2</v>
      </c>
      <c r="K225">
        <f t="shared" si="45"/>
        <v>1.0121458353945839E-3</v>
      </c>
      <c r="L225">
        <f t="shared" si="46"/>
        <v>-1.0032003879789086E-2</v>
      </c>
      <c r="M225">
        <f t="shared" si="47"/>
        <v>9.9304874099185323E-4</v>
      </c>
      <c r="N225">
        <f t="shared" si="48"/>
        <v>-4.5305891742630309E-3</v>
      </c>
      <c r="AB225">
        <f t="shared" si="40"/>
        <v>3.5957790406843763E-3</v>
      </c>
      <c r="AC225">
        <f t="shared" si="41"/>
        <v>-4.9649591215959387E-3</v>
      </c>
      <c r="AD225">
        <f t="shared" si="42"/>
        <v>-2.8686023882315151E-3</v>
      </c>
      <c r="AE225">
        <f t="shared" si="43"/>
        <v>1.5366394320364546E-4</v>
      </c>
      <c r="AF225">
        <f t="shared" si="44"/>
        <v>1.3537084798765549E-3</v>
      </c>
      <c r="AG225">
        <f t="shared" si="49"/>
        <v>-5.2863805502175853E-3</v>
      </c>
    </row>
    <row r="226" spans="1:33" x14ac:dyDescent="0.3">
      <c r="A226" s="17">
        <v>45610</v>
      </c>
      <c r="B226">
        <v>99.25</v>
      </c>
      <c r="C226">
        <v>98.65</v>
      </c>
      <c r="D226">
        <v>110.35</v>
      </c>
      <c r="E226">
        <v>109.55</v>
      </c>
      <c r="F226">
        <v>101</v>
      </c>
      <c r="G226">
        <v>100.2</v>
      </c>
      <c r="H226">
        <v>98.8</v>
      </c>
      <c r="I226">
        <v>97.9</v>
      </c>
      <c r="K226">
        <f t="shared" si="45"/>
        <v>-2.0253171480014882E-3</v>
      </c>
      <c r="L226">
        <f t="shared" si="46"/>
        <v>4.1161732024503931E-3</v>
      </c>
      <c r="M226">
        <f t="shared" si="47"/>
        <v>-5.4740121760279018E-3</v>
      </c>
      <c r="N226">
        <f t="shared" si="48"/>
        <v>-3.0318365821201251E-3</v>
      </c>
      <c r="AB226">
        <f t="shared" si="40"/>
        <v>-3.7673926327283472E-3</v>
      </c>
      <c r="AC226">
        <f t="shared" si="41"/>
        <v>8.5026696037699106E-4</v>
      </c>
      <c r="AD226">
        <f t="shared" si="42"/>
        <v>4.238922972671769E-4</v>
      </c>
      <c r="AE226">
        <f t="shared" si="43"/>
        <v>-2.0032836549123004E-3</v>
      </c>
      <c r="AF226">
        <f t="shared" si="44"/>
        <v>-2.32988044633281E-3</v>
      </c>
      <c r="AG226">
        <f t="shared" si="49"/>
        <v>9.5973979653192737E-4</v>
      </c>
    </row>
    <row r="227" spans="1:33" x14ac:dyDescent="0.3">
      <c r="A227" s="17">
        <v>45611</v>
      </c>
      <c r="B227">
        <v>99.25</v>
      </c>
      <c r="C227">
        <v>98.65</v>
      </c>
      <c r="D227">
        <v>109.9</v>
      </c>
      <c r="E227">
        <v>109.1</v>
      </c>
      <c r="F227">
        <v>101.1</v>
      </c>
      <c r="G227">
        <v>100.3</v>
      </c>
      <c r="H227">
        <v>98.85</v>
      </c>
      <c r="I227">
        <v>97.95</v>
      </c>
      <c r="K227">
        <f t="shared" si="45"/>
        <v>0</v>
      </c>
      <c r="L227">
        <f t="shared" si="46"/>
        <v>-4.116173202450368E-3</v>
      </c>
      <c r="M227">
        <f t="shared" si="47"/>
        <v>9.9750631712533814E-4</v>
      </c>
      <c r="N227">
        <f t="shared" si="48"/>
        <v>5.0594486280374949E-4</v>
      </c>
      <c r="AB227">
        <f t="shared" si="40"/>
        <v>8.3853951618239036E-4</v>
      </c>
      <c r="AC227">
        <f t="shared" si="41"/>
        <v>4.2386589435577183E-3</v>
      </c>
      <c r="AD227">
        <f t="shared" si="42"/>
        <v>1.2703916121320291E-3</v>
      </c>
      <c r="AE227">
        <f t="shared" si="43"/>
        <v>2.5922465155337761E-3</v>
      </c>
      <c r="AF227">
        <f t="shared" si="44"/>
        <v>1.1481004958709936E-3</v>
      </c>
      <c r="AG227">
        <f t="shared" si="49"/>
        <v>4.7071095451211862E-3</v>
      </c>
    </row>
    <row r="228" spans="1:33" x14ac:dyDescent="0.3">
      <c r="A228" s="17">
        <v>45614</v>
      </c>
      <c r="B228">
        <v>99.25</v>
      </c>
      <c r="C228">
        <v>98.65</v>
      </c>
      <c r="D228">
        <v>110.1</v>
      </c>
      <c r="E228">
        <v>109.2</v>
      </c>
      <c r="F228">
        <v>101.7</v>
      </c>
      <c r="G228">
        <v>100.8</v>
      </c>
      <c r="H228">
        <v>99</v>
      </c>
      <c r="I228">
        <v>98.1</v>
      </c>
      <c r="K228">
        <f t="shared" si="45"/>
        <v>0</v>
      </c>
      <c r="L228">
        <f t="shared" si="46"/>
        <v>9.1617047177958209E-4</v>
      </c>
      <c r="M228">
        <f t="shared" si="47"/>
        <v>4.9726606693784592E-3</v>
      </c>
      <c r="N228">
        <f t="shared" si="48"/>
        <v>1.516300517964008E-3</v>
      </c>
      <c r="AB228">
        <f t="shared" si="40"/>
        <v>3.5609594006647469E-3</v>
      </c>
      <c r="AC228">
        <f t="shared" si="41"/>
        <v>2.0631748045029166E-3</v>
      </c>
      <c r="AD228">
        <f t="shared" si="42"/>
        <v>8.3350687883783554E-4</v>
      </c>
      <c r="AE228">
        <f t="shared" si="43"/>
        <v>2.9645795408878373E-3</v>
      </c>
      <c r="AF228">
        <f t="shared" si="44"/>
        <v>2.4384059437363606E-3</v>
      </c>
      <c r="AG228">
        <f t="shared" si="49"/>
        <v>1.868665432129129E-3</v>
      </c>
    </row>
    <row r="229" spans="1:33" x14ac:dyDescent="0.3">
      <c r="A229" s="17">
        <v>45615</v>
      </c>
      <c r="B229">
        <v>99.5</v>
      </c>
      <c r="C229">
        <v>98.9</v>
      </c>
      <c r="D229">
        <v>110.5</v>
      </c>
      <c r="E229">
        <v>109.6</v>
      </c>
      <c r="F229">
        <v>101.85</v>
      </c>
      <c r="G229">
        <v>101</v>
      </c>
      <c r="H229">
        <v>99.05</v>
      </c>
      <c r="I229">
        <v>98.1</v>
      </c>
      <c r="K229">
        <f t="shared" si="45"/>
        <v>2.5310061600420626E-3</v>
      </c>
      <c r="L229">
        <f t="shared" si="46"/>
        <v>3.6563112031104792E-3</v>
      </c>
      <c r="M229">
        <f t="shared" si="47"/>
        <v>1.9821612039912025E-3</v>
      </c>
      <c r="N229">
        <f t="shared" si="48"/>
        <v>5.0492300997006818E-4</v>
      </c>
      <c r="AB229">
        <f t="shared" si="40"/>
        <v>-5.0336351621587717E-4</v>
      </c>
      <c r="AC229">
        <f t="shared" si="41"/>
        <v>-6.5025905520879916E-3</v>
      </c>
      <c r="AD229">
        <f t="shared" si="42"/>
        <v>1.1037647618380019E-3</v>
      </c>
      <c r="AE229">
        <f t="shared" si="43"/>
        <v>-3.3474142843483742E-3</v>
      </c>
      <c r="AF229">
        <f t="shared" si="44"/>
        <v>3.0485603418719279E-4</v>
      </c>
      <c r="AG229">
        <f t="shared" si="49"/>
        <v>-6.7645423856873086E-3</v>
      </c>
    </row>
    <row r="230" spans="1:33" x14ac:dyDescent="0.3">
      <c r="A230" s="17">
        <v>45616</v>
      </c>
      <c r="B230">
        <v>99.4</v>
      </c>
      <c r="C230">
        <v>98.8</v>
      </c>
      <c r="D230">
        <v>110.45</v>
      </c>
      <c r="E230">
        <v>109.55</v>
      </c>
      <c r="F230">
        <v>101.05</v>
      </c>
      <c r="G230">
        <v>100.25</v>
      </c>
      <c r="H230">
        <v>99.2</v>
      </c>
      <c r="I230">
        <v>98.3</v>
      </c>
      <c r="K230">
        <f t="shared" si="45"/>
        <v>-1.0116338748443737E-3</v>
      </c>
      <c r="L230">
        <f t="shared" si="46"/>
        <v>-4.5630847243965147E-4</v>
      </c>
      <c r="M230">
        <f t="shared" si="47"/>
        <v>-7.4534506545808907E-3</v>
      </c>
      <c r="N230">
        <f t="shared" si="48"/>
        <v>1.5132411462672152E-3</v>
      </c>
      <c r="AB230">
        <f t="shared" si="40"/>
        <v>-4.0680972701175912E-3</v>
      </c>
      <c r="AC230">
        <f t="shared" si="41"/>
        <v>-9.8801782602610895E-5</v>
      </c>
      <c r="AD230">
        <f t="shared" si="42"/>
        <v>-2.2663978669264792E-3</v>
      </c>
      <c r="AE230">
        <f t="shared" si="43"/>
        <v>-2.2094117720732154E-3</v>
      </c>
      <c r="AF230">
        <f t="shared" si="44"/>
        <v>-3.3053634592523471E-3</v>
      </c>
      <c r="AG230">
        <f t="shared" si="49"/>
        <v>3.0526432705019245E-4</v>
      </c>
    </row>
    <row r="231" spans="1:33" x14ac:dyDescent="0.3">
      <c r="A231" s="17">
        <v>45617</v>
      </c>
      <c r="B231">
        <v>99.05</v>
      </c>
      <c r="C231">
        <v>98.45</v>
      </c>
      <c r="D231">
        <v>110.05</v>
      </c>
      <c r="E231">
        <v>109.1</v>
      </c>
      <c r="F231">
        <v>101.2</v>
      </c>
      <c r="G231">
        <v>100.3</v>
      </c>
      <c r="H231">
        <v>99</v>
      </c>
      <c r="I231">
        <v>98.1</v>
      </c>
      <c r="K231">
        <f t="shared" si="45"/>
        <v>-3.5487996686875481E-3</v>
      </c>
      <c r="L231">
        <f t="shared" si="46"/>
        <v>-4.116173202450368E-3</v>
      </c>
      <c r="M231">
        <f t="shared" si="47"/>
        <v>4.9862878121122655E-4</v>
      </c>
      <c r="N231">
        <f t="shared" si="48"/>
        <v>-2.0181641562372361E-3</v>
      </c>
      <c r="AB231">
        <f t="shared" si="40"/>
        <v>0</v>
      </c>
      <c r="AC231">
        <f t="shared" si="41"/>
        <v>8.4941965883138845E-4</v>
      </c>
      <c r="AD231">
        <f t="shared" si="42"/>
        <v>-2.9672491191010957E-3</v>
      </c>
      <c r="AE231">
        <f t="shared" si="43"/>
        <v>4.117427368928313E-4</v>
      </c>
      <c r="AF231">
        <f t="shared" si="44"/>
        <v>-1.368715790539722E-3</v>
      </c>
      <c r="AG231">
        <f t="shared" si="49"/>
        <v>6.4784911259018884E-4</v>
      </c>
    </row>
    <row r="232" spans="1:33" x14ac:dyDescent="0.3">
      <c r="A232" s="17">
        <v>45618</v>
      </c>
      <c r="B232">
        <v>99.05</v>
      </c>
      <c r="C232">
        <v>98.45</v>
      </c>
      <c r="D232">
        <v>110.05</v>
      </c>
      <c r="E232">
        <v>109.1</v>
      </c>
      <c r="F232">
        <v>101.3</v>
      </c>
      <c r="G232">
        <v>100.4</v>
      </c>
      <c r="H232">
        <v>98.65</v>
      </c>
      <c r="I232">
        <v>97.75</v>
      </c>
      <c r="K232">
        <f t="shared" si="45"/>
        <v>0</v>
      </c>
      <c r="L232">
        <f t="shared" si="46"/>
        <v>0</v>
      </c>
      <c r="M232">
        <f t="shared" si="47"/>
        <v>9.9651228973907601E-4</v>
      </c>
      <c r="N232">
        <f t="shared" si="48"/>
        <v>-3.5416176659655413E-3</v>
      </c>
      <c r="AB232">
        <f t="shared" si="40"/>
        <v>-8.823535173956297E-4</v>
      </c>
      <c r="AC232">
        <f t="shared" si="41"/>
        <v>7.7358931172180872E-4</v>
      </c>
      <c r="AD232">
        <f t="shared" si="42"/>
        <v>3.4215064588421059E-4</v>
      </c>
      <c r="AE232">
        <f t="shared" si="43"/>
        <v>-1.2678384072973545E-4</v>
      </c>
      <c r="AF232">
        <f t="shared" si="44"/>
        <v>-3.6678907306773775E-4</v>
      </c>
      <c r="AG232">
        <f t="shared" si="49"/>
        <v>9.5796540084861447E-4</v>
      </c>
    </row>
    <row r="233" spans="1:33" x14ac:dyDescent="0.3">
      <c r="A233" s="17">
        <v>45621</v>
      </c>
      <c r="B233">
        <v>99</v>
      </c>
      <c r="C233">
        <v>98.4</v>
      </c>
      <c r="D233">
        <v>109.9</v>
      </c>
      <c r="E233">
        <v>109</v>
      </c>
      <c r="F233">
        <v>101.4</v>
      </c>
      <c r="G233">
        <v>100.5</v>
      </c>
      <c r="H233">
        <v>98.7</v>
      </c>
      <c r="I233">
        <v>97.8</v>
      </c>
      <c r="K233">
        <f t="shared" si="45"/>
        <v>-5.080010269268118E-4</v>
      </c>
      <c r="L233">
        <f t="shared" si="46"/>
        <v>-9.170106098813723E-4</v>
      </c>
      <c r="M233">
        <f t="shared" si="47"/>
        <v>9.9552024150161966E-4</v>
      </c>
      <c r="N233">
        <f t="shared" si="48"/>
        <v>5.0671397081149922E-4</v>
      </c>
      <c r="AB233">
        <f t="shared" si="40"/>
        <v>-2.1555387383037218E-4</v>
      </c>
      <c r="AC233">
        <f t="shared" si="41"/>
        <v>-5.0531422396078484E-3</v>
      </c>
      <c r="AD233">
        <f t="shared" si="42"/>
        <v>-4.1255909382358243E-4</v>
      </c>
      <c r="AE233">
        <f t="shared" si="43"/>
        <v>-2.267414931896479E-3</v>
      </c>
      <c r="AF233">
        <f t="shared" si="44"/>
        <v>0</v>
      </c>
      <c r="AG233">
        <f t="shared" si="49"/>
        <v>-5.0660507607362812E-3</v>
      </c>
    </row>
    <row r="234" spans="1:33" x14ac:dyDescent="0.3">
      <c r="A234" s="17">
        <v>45622</v>
      </c>
      <c r="B234">
        <v>98.75</v>
      </c>
      <c r="C234">
        <v>98.15</v>
      </c>
      <c r="D234">
        <v>109.9</v>
      </c>
      <c r="E234">
        <v>109</v>
      </c>
      <c r="F234">
        <v>100.8</v>
      </c>
      <c r="G234">
        <v>99.95</v>
      </c>
      <c r="H234">
        <v>98.7</v>
      </c>
      <c r="I234">
        <v>97.8</v>
      </c>
      <c r="K234">
        <f t="shared" si="45"/>
        <v>-2.5438833357376888E-3</v>
      </c>
      <c r="L234">
        <f t="shared" si="46"/>
        <v>0</v>
      </c>
      <c r="M234">
        <f t="shared" si="47"/>
        <v>-5.4876665527213353E-3</v>
      </c>
      <c r="N234">
        <f t="shared" si="48"/>
        <v>0</v>
      </c>
      <c r="AB234">
        <f t="shared" si="40"/>
        <v>0</v>
      </c>
      <c r="AC234">
        <f t="shared" si="41"/>
        <v>0</v>
      </c>
      <c r="AD234">
        <f t="shared" si="42"/>
        <v>0</v>
      </c>
      <c r="AE234">
        <f t="shared" si="43"/>
        <v>0</v>
      </c>
      <c r="AF234">
        <f t="shared" si="44"/>
        <v>0</v>
      </c>
      <c r="AG234">
        <f t="shared" si="49"/>
        <v>0</v>
      </c>
    </row>
    <row r="235" spans="1:33" x14ac:dyDescent="0.3">
      <c r="A235" s="17">
        <v>45623</v>
      </c>
      <c r="B235">
        <v>98.75</v>
      </c>
      <c r="C235">
        <v>98.15</v>
      </c>
      <c r="D235">
        <v>109.9</v>
      </c>
      <c r="E235">
        <v>109</v>
      </c>
      <c r="F235">
        <v>100.8</v>
      </c>
      <c r="G235">
        <v>99.95</v>
      </c>
      <c r="H235">
        <v>98.7</v>
      </c>
      <c r="I235">
        <v>97.8</v>
      </c>
      <c r="K235">
        <f t="shared" si="45"/>
        <v>0</v>
      </c>
      <c r="L235">
        <f t="shared" si="46"/>
        <v>0</v>
      </c>
      <c r="M235">
        <f t="shared" si="47"/>
        <v>0</v>
      </c>
      <c r="N235">
        <f t="shared" si="48"/>
        <v>0</v>
      </c>
      <c r="AB235">
        <f t="shared" si="40"/>
        <v>0</v>
      </c>
      <c r="AC235">
        <f t="shared" si="41"/>
        <v>0</v>
      </c>
      <c r="AD235">
        <f t="shared" si="42"/>
        <v>0</v>
      </c>
      <c r="AE235">
        <f t="shared" si="43"/>
        <v>0</v>
      </c>
      <c r="AF235">
        <f t="shared" si="44"/>
        <v>0</v>
      </c>
      <c r="AG235">
        <f t="shared" si="49"/>
        <v>0</v>
      </c>
    </row>
    <row r="236" spans="1:33" x14ac:dyDescent="0.3">
      <c r="A236" s="17">
        <v>45624</v>
      </c>
      <c r="B236">
        <v>98.75</v>
      </c>
      <c r="C236">
        <v>98.15</v>
      </c>
      <c r="D236">
        <v>109.9</v>
      </c>
      <c r="E236">
        <v>109</v>
      </c>
      <c r="F236">
        <v>100.8</v>
      </c>
      <c r="G236">
        <v>99.95</v>
      </c>
      <c r="H236">
        <v>98.7</v>
      </c>
      <c r="I236">
        <v>97.8</v>
      </c>
      <c r="K236">
        <f t="shared" si="45"/>
        <v>0</v>
      </c>
      <c r="L236">
        <f t="shared" si="46"/>
        <v>0</v>
      </c>
      <c r="M236">
        <f t="shared" si="47"/>
        <v>0</v>
      </c>
      <c r="N236">
        <f t="shared" si="48"/>
        <v>0</v>
      </c>
      <c r="AB236">
        <f t="shared" si="40"/>
        <v>7.9613181163193858E-4</v>
      </c>
      <c r="AC236">
        <f t="shared" si="41"/>
        <v>4.1782507145369362E-3</v>
      </c>
      <c r="AD236">
        <f t="shared" si="42"/>
        <v>-3.9112345528907449E-3</v>
      </c>
      <c r="AE236">
        <f t="shared" si="43"/>
        <v>2.5999163782100456E-3</v>
      </c>
      <c r="AF236">
        <f t="shared" si="44"/>
        <v>-1.2034163416098313E-3</v>
      </c>
      <c r="AG236">
        <f t="shared" si="49"/>
        <v>4.2555594038354841E-3</v>
      </c>
    </row>
    <row r="237" spans="1:33" x14ac:dyDescent="0.3">
      <c r="A237" s="17">
        <v>45625</v>
      </c>
      <c r="B237">
        <v>98.7</v>
      </c>
      <c r="C237">
        <v>98.1</v>
      </c>
      <c r="D237">
        <v>110</v>
      </c>
      <c r="E237">
        <v>109.1</v>
      </c>
      <c r="F237">
        <v>101.3</v>
      </c>
      <c r="G237">
        <v>100.45</v>
      </c>
      <c r="H237">
        <v>98.25</v>
      </c>
      <c r="I237">
        <v>97.35</v>
      </c>
      <c r="K237">
        <f t="shared" si="45"/>
        <v>-5.0955415115278599E-4</v>
      </c>
      <c r="L237">
        <f t="shared" si="46"/>
        <v>9.1701060988140645E-4</v>
      </c>
      <c r="M237">
        <f t="shared" si="47"/>
        <v>4.9900303145344396E-3</v>
      </c>
      <c r="N237">
        <f t="shared" si="48"/>
        <v>-4.5696956900652969E-3</v>
      </c>
      <c r="AB237">
        <f t="shared" si="40"/>
        <v>0</v>
      </c>
      <c r="AC237">
        <f t="shared" si="41"/>
        <v>-4.2534646998080988E-3</v>
      </c>
      <c r="AD237">
        <f t="shared" si="42"/>
        <v>2.9793080690020813E-3</v>
      </c>
      <c r="AE237">
        <f t="shared" si="43"/>
        <v>-2.0617996988502416E-3</v>
      </c>
      <c r="AF237">
        <f t="shared" si="44"/>
        <v>1.3742782743367706E-3</v>
      </c>
      <c r="AG237">
        <f t="shared" si="49"/>
        <v>-4.3334405084314602E-3</v>
      </c>
    </row>
    <row r="238" spans="1:33" x14ac:dyDescent="0.3">
      <c r="A238" s="17">
        <v>45628</v>
      </c>
      <c r="B238">
        <v>98.7</v>
      </c>
      <c r="C238">
        <v>98.1</v>
      </c>
      <c r="D238">
        <v>110</v>
      </c>
      <c r="E238">
        <v>109.1</v>
      </c>
      <c r="F238">
        <v>100.8</v>
      </c>
      <c r="G238">
        <v>99.95</v>
      </c>
      <c r="H238">
        <v>98.6</v>
      </c>
      <c r="I238">
        <v>97.7</v>
      </c>
      <c r="K238">
        <f t="shared" si="45"/>
        <v>0</v>
      </c>
      <c r="L238">
        <f t="shared" si="46"/>
        <v>0</v>
      </c>
      <c r="M238">
        <f t="shared" si="47"/>
        <v>-4.9900303145344049E-3</v>
      </c>
      <c r="N238">
        <f t="shared" si="48"/>
        <v>3.5560108592189821E-3</v>
      </c>
      <c r="AB238">
        <f t="shared" si="40"/>
        <v>-1.7225859592877415E-3</v>
      </c>
      <c r="AC238">
        <f t="shared" si="41"/>
        <v>7.7714029772242912E-4</v>
      </c>
      <c r="AD238">
        <f t="shared" si="42"/>
        <v>1.190930200530362E-3</v>
      </c>
      <c r="AE238">
        <f t="shared" si="43"/>
        <v>-6.6354343366909385E-4</v>
      </c>
      <c r="AF238">
        <f t="shared" si="44"/>
        <v>-5.3826658353281541E-4</v>
      </c>
      <c r="AG238">
        <f t="shared" si="49"/>
        <v>1.0399624456272764E-3</v>
      </c>
    </row>
    <row r="239" spans="1:33" x14ac:dyDescent="0.3">
      <c r="A239" s="17">
        <v>45629</v>
      </c>
      <c r="B239">
        <v>98.65</v>
      </c>
      <c r="C239">
        <v>98.05</v>
      </c>
      <c r="D239">
        <v>109.8</v>
      </c>
      <c r="E239">
        <v>108.9</v>
      </c>
      <c r="F239">
        <v>100.95</v>
      </c>
      <c r="G239">
        <v>100.05</v>
      </c>
      <c r="H239">
        <v>98.75</v>
      </c>
      <c r="I239">
        <v>97.85</v>
      </c>
      <c r="K239">
        <f t="shared" si="45"/>
        <v>-5.0981392896213575E-4</v>
      </c>
      <c r="L239">
        <f t="shared" si="46"/>
        <v>-1.8348629001102238E-3</v>
      </c>
      <c r="M239">
        <f t="shared" si="47"/>
        <v>1.000000083333275E-3</v>
      </c>
      <c r="N239">
        <f t="shared" si="48"/>
        <v>1.52014217264168E-3</v>
      </c>
      <c r="AB239">
        <f t="shared" si="40"/>
        <v>-4.3220700813335169E-5</v>
      </c>
      <c r="AC239">
        <f t="shared" si="41"/>
        <v>-1.3541995173698841E-3</v>
      </c>
      <c r="AD239">
        <f t="shared" si="42"/>
        <v>-2.206482810573061E-3</v>
      </c>
      <c r="AE239">
        <f t="shared" si="43"/>
        <v>-6.1993080238618796E-4</v>
      </c>
      <c r="AF239">
        <f t="shared" si="44"/>
        <v>-9.7963620527506006E-4</v>
      </c>
      <c r="AG239">
        <f t="shared" si="49"/>
        <v>-1.579854184016167E-3</v>
      </c>
    </row>
    <row r="240" spans="1:33" x14ac:dyDescent="0.3">
      <c r="A240" s="17">
        <v>45630</v>
      </c>
      <c r="B240">
        <v>98.6</v>
      </c>
      <c r="C240">
        <v>98</v>
      </c>
      <c r="D240">
        <v>109.8</v>
      </c>
      <c r="E240">
        <v>108.9</v>
      </c>
      <c r="F240">
        <v>100.8</v>
      </c>
      <c r="G240">
        <v>99.9</v>
      </c>
      <c r="H240">
        <v>98.5</v>
      </c>
      <c r="I240">
        <v>97.55</v>
      </c>
      <c r="K240">
        <f t="shared" si="45"/>
        <v>-5.1007397178336232E-4</v>
      </c>
      <c r="L240">
        <f t="shared" si="46"/>
        <v>0</v>
      </c>
      <c r="M240">
        <f t="shared" si="47"/>
        <v>-1.5003753752344539E-3</v>
      </c>
      <c r="N240">
        <f t="shared" si="48"/>
        <v>-2.5348556031880663E-3</v>
      </c>
      <c r="AB240">
        <f t="shared" si="40"/>
        <v>4.201357970914493E-4</v>
      </c>
      <c r="AC240">
        <f t="shared" si="41"/>
        <v>0</v>
      </c>
      <c r="AD240">
        <f t="shared" si="42"/>
        <v>1.2749022612371453E-3</v>
      </c>
      <c r="AE240">
        <f t="shared" si="43"/>
        <v>2.6936709112884791E-4</v>
      </c>
      <c r="AF240">
        <f t="shared" si="44"/>
        <v>8.6971093707928916E-4</v>
      </c>
      <c r="AG240">
        <f t="shared" si="49"/>
        <v>1.1691055226495743E-4</v>
      </c>
    </row>
    <row r="241" spans="1:33" x14ac:dyDescent="0.3">
      <c r="A241" s="17">
        <v>45631</v>
      </c>
      <c r="B241">
        <v>98.6</v>
      </c>
      <c r="C241">
        <v>98</v>
      </c>
      <c r="D241">
        <v>109.85</v>
      </c>
      <c r="E241">
        <v>108.95</v>
      </c>
      <c r="F241">
        <v>100.8</v>
      </c>
      <c r="G241">
        <v>99.9</v>
      </c>
      <c r="H241">
        <v>98.65</v>
      </c>
      <c r="I241">
        <v>97.75</v>
      </c>
      <c r="K241">
        <f t="shared" si="45"/>
        <v>0</v>
      </c>
      <c r="L241">
        <f t="shared" si="46"/>
        <v>4.5903145171400723E-4</v>
      </c>
      <c r="M241">
        <f t="shared" si="47"/>
        <v>0</v>
      </c>
      <c r="N241">
        <f t="shared" si="48"/>
        <v>1.5216842905811487E-3</v>
      </c>
      <c r="AB241">
        <f t="shared" si="40"/>
        <v>-2.8268762595457064E-3</v>
      </c>
      <c r="AC241">
        <f t="shared" si="41"/>
        <v>3.2470597740433716E-4</v>
      </c>
      <c r="AD241">
        <f t="shared" si="42"/>
        <v>-1.0049918489443111E-3</v>
      </c>
      <c r="AE241">
        <f t="shared" si="43"/>
        <v>-1.204669861877936E-3</v>
      </c>
      <c r="AF241">
        <f t="shared" si="44"/>
        <v>-1.8876572304517645E-3</v>
      </c>
      <c r="AG241">
        <f t="shared" si="49"/>
        <v>8.8468176933831821E-4</v>
      </c>
    </row>
    <row r="242" spans="1:33" x14ac:dyDescent="0.3">
      <c r="A242" s="17">
        <v>45632</v>
      </c>
      <c r="B242">
        <v>98.25</v>
      </c>
      <c r="C242">
        <v>97.65</v>
      </c>
      <c r="D242">
        <v>109.55</v>
      </c>
      <c r="E242">
        <v>108.65</v>
      </c>
      <c r="F242">
        <v>100.9</v>
      </c>
      <c r="G242">
        <v>100</v>
      </c>
      <c r="H242">
        <v>98.6</v>
      </c>
      <c r="I242">
        <v>97.65</v>
      </c>
      <c r="K242">
        <f t="shared" si="45"/>
        <v>-3.5778213478839666E-3</v>
      </c>
      <c r="L242">
        <f t="shared" si="46"/>
        <v>-2.7573546881901633E-3</v>
      </c>
      <c r="M242">
        <f t="shared" si="47"/>
        <v>1.0005003335834001E-3</v>
      </c>
      <c r="N242">
        <f t="shared" si="48"/>
        <v>-5.0697086003468348E-4</v>
      </c>
      <c r="AB242">
        <f t="shared" si="40"/>
        <v>4.6447786716924345E-4</v>
      </c>
      <c r="AC242">
        <f t="shared" si="41"/>
        <v>7.5560504798637314E-5</v>
      </c>
      <c r="AD242">
        <f t="shared" si="42"/>
        <v>-2.4700248101940194E-3</v>
      </c>
      <c r="AE242">
        <f t="shared" si="43"/>
        <v>2.699867531961116E-4</v>
      </c>
      <c r="AF242">
        <f t="shared" si="44"/>
        <v>-8.9537420120345342E-4</v>
      </c>
      <c r="AG242">
        <f t="shared" si="49"/>
        <v>-2.341181185051293E-4</v>
      </c>
    </row>
    <row r="243" spans="1:33" x14ac:dyDescent="0.3">
      <c r="A243" s="17">
        <v>45635</v>
      </c>
      <c r="B243">
        <v>98.3</v>
      </c>
      <c r="C243">
        <v>97.7</v>
      </c>
      <c r="D243">
        <v>109.65</v>
      </c>
      <c r="E243">
        <v>108.7</v>
      </c>
      <c r="F243">
        <v>100.85</v>
      </c>
      <c r="G243">
        <v>100</v>
      </c>
      <c r="H243">
        <v>98.3</v>
      </c>
      <c r="I243">
        <v>97.4</v>
      </c>
      <c r="K243">
        <f t="shared" si="45"/>
        <v>5.1190172604897814E-4</v>
      </c>
      <c r="L243">
        <f t="shared" si="46"/>
        <v>4.6008742472509822E-4</v>
      </c>
      <c r="M243">
        <f t="shared" si="47"/>
        <v>0</v>
      </c>
      <c r="N243">
        <f t="shared" si="48"/>
        <v>-3.0472344554688577E-3</v>
      </c>
      <c r="AB243">
        <f t="shared" si="40"/>
        <v>-1.301933912074146E-4</v>
      </c>
      <c r="AC243">
        <f t="shared" si="41"/>
        <v>1.9015244450948875E-3</v>
      </c>
      <c r="AD243">
        <f t="shared" si="42"/>
        <v>-2.4918349433431468E-4</v>
      </c>
      <c r="AE243">
        <f t="shared" si="43"/>
        <v>1.0316704542891037E-3</v>
      </c>
      <c r="AF243">
        <f t="shared" si="44"/>
        <v>0</v>
      </c>
      <c r="AG243">
        <f t="shared" si="49"/>
        <v>2.3050456342408347E-3</v>
      </c>
    </row>
    <row r="244" spans="1:33" x14ac:dyDescent="0.3">
      <c r="A244" s="17">
        <v>45636</v>
      </c>
      <c r="B244">
        <v>98.15</v>
      </c>
      <c r="C244">
        <v>97.55</v>
      </c>
      <c r="D244">
        <v>109.6</v>
      </c>
      <c r="E244">
        <v>108.7</v>
      </c>
      <c r="F244">
        <v>101.15</v>
      </c>
      <c r="G244">
        <v>100.25</v>
      </c>
      <c r="H244">
        <v>98.3</v>
      </c>
      <c r="I244">
        <v>97.4</v>
      </c>
      <c r="K244">
        <f t="shared" si="45"/>
        <v>-1.5364919796168985E-3</v>
      </c>
      <c r="L244">
        <f t="shared" si="46"/>
        <v>0</v>
      </c>
      <c r="M244">
        <f t="shared" si="47"/>
        <v>2.4968801985871458E-3</v>
      </c>
      <c r="N244">
        <f t="shared" si="48"/>
        <v>0</v>
      </c>
      <c r="AB244">
        <f t="shared" si="40"/>
        <v>0</v>
      </c>
      <c r="AC244">
        <f t="shared" si="41"/>
        <v>-4.2523949851711816E-4</v>
      </c>
      <c r="AD244">
        <f t="shared" si="42"/>
        <v>-4.2626462770246291E-4</v>
      </c>
      <c r="AE244">
        <f t="shared" si="43"/>
        <v>-2.0612811716090606E-4</v>
      </c>
      <c r="AF244">
        <f t="shared" si="44"/>
        <v>-1.9662492209674792E-4</v>
      </c>
      <c r="AG244">
        <f t="shared" si="49"/>
        <v>-4.9963806299101567E-4</v>
      </c>
    </row>
    <row r="245" spans="1:33" x14ac:dyDescent="0.3">
      <c r="A245" s="17">
        <v>45637</v>
      </c>
      <c r="B245">
        <v>98.15</v>
      </c>
      <c r="C245">
        <v>97.55</v>
      </c>
      <c r="D245">
        <v>109.6</v>
      </c>
      <c r="E245">
        <v>108.7</v>
      </c>
      <c r="F245">
        <v>101.1</v>
      </c>
      <c r="G245">
        <v>100.2</v>
      </c>
      <c r="H245">
        <v>98.25</v>
      </c>
      <c r="I245">
        <v>97.35</v>
      </c>
      <c r="K245">
        <f t="shared" si="45"/>
        <v>0</v>
      </c>
      <c r="L245">
        <f t="shared" si="46"/>
        <v>0</v>
      </c>
      <c r="M245">
        <f t="shared" si="47"/>
        <v>-4.9887753591408969E-4</v>
      </c>
      <c r="N245">
        <f t="shared" si="48"/>
        <v>-5.0877640375022115E-4</v>
      </c>
      <c r="AB245">
        <f t="shared" si="40"/>
        <v>0</v>
      </c>
      <c r="AC245">
        <f t="shared" si="41"/>
        <v>-1.2769928337438494E-3</v>
      </c>
      <c r="AD245">
        <f t="shared" si="42"/>
        <v>8.5231249229984231E-4</v>
      </c>
      <c r="AE245">
        <f t="shared" si="43"/>
        <v>-6.1900206675413868E-4</v>
      </c>
      <c r="AF245">
        <f t="shared" si="44"/>
        <v>3.9314985694172637E-4</v>
      </c>
      <c r="AG245">
        <f t="shared" si="49"/>
        <v>-1.3048685181108668E-3</v>
      </c>
    </row>
    <row r="246" spans="1:33" x14ac:dyDescent="0.3">
      <c r="A246" s="17">
        <v>45638</v>
      </c>
      <c r="B246">
        <v>98.15</v>
      </c>
      <c r="C246">
        <v>97.55</v>
      </c>
      <c r="D246">
        <v>109.6</v>
      </c>
      <c r="E246">
        <v>108.7</v>
      </c>
      <c r="F246">
        <v>100.95</v>
      </c>
      <c r="G246">
        <v>100.05</v>
      </c>
      <c r="H246">
        <v>98.35</v>
      </c>
      <c r="I246">
        <v>97.45</v>
      </c>
      <c r="K246">
        <f t="shared" si="45"/>
        <v>0</v>
      </c>
      <c r="L246">
        <f t="shared" si="46"/>
        <v>0</v>
      </c>
      <c r="M246">
        <f t="shared" si="47"/>
        <v>-1.4981276210221032E-3</v>
      </c>
      <c r="N246">
        <f t="shared" si="48"/>
        <v>1.0172940856973582E-3</v>
      </c>
      <c r="AB246">
        <f t="shared" si="40"/>
        <v>-1.6855728850365425E-3</v>
      </c>
      <c r="AC246">
        <f t="shared" si="41"/>
        <v>-1.2789088027046454E-3</v>
      </c>
      <c r="AD246">
        <f t="shared" si="42"/>
        <v>-3.4144646654523064E-3</v>
      </c>
      <c r="AE246">
        <f t="shared" si="43"/>
        <v>-1.7006239213044143E-3</v>
      </c>
      <c r="AF246">
        <f t="shared" si="44"/>
        <v>-2.7049015134025692E-3</v>
      </c>
      <c r="AG246">
        <f t="shared" si="49"/>
        <v>-1.6982137867955708E-3</v>
      </c>
    </row>
    <row r="247" spans="1:33" x14ac:dyDescent="0.3">
      <c r="A247" s="17">
        <v>45639</v>
      </c>
      <c r="B247">
        <v>98.15</v>
      </c>
      <c r="C247">
        <v>97.55</v>
      </c>
      <c r="D247">
        <v>109.4</v>
      </c>
      <c r="E247">
        <v>108.5</v>
      </c>
      <c r="F247">
        <v>100.8</v>
      </c>
      <c r="G247">
        <v>99.9</v>
      </c>
      <c r="H247">
        <v>97.95</v>
      </c>
      <c r="I247">
        <v>97.05</v>
      </c>
      <c r="K247">
        <f t="shared" si="45"/>
        <v>0</v>
      </c>
      <c r="L247">
        <f t="shared" si="46"/>
        <v>-1.8416211466495832E-3</v>
      </c>
      <c r="M247">
        <f t="shared" si="47"/>
        <v>-1.5003753752344539E-3</v>
      </c>
      <c r="N247">
        <f t="shared" si="48"/>
        <v>-4.0754004445182563E-3</v>
      </c>
      <c r="AB247">
        <f t="shared" si="40"/>
        <v>-1.3096622063629099E-3</v>
      </c>
      <c r="AC247">
        <f t="shared" si="41"/>
        <v>-3.0672806449231296E-3</v>
      </c>
      <c r="AD247">
        <f t="shared" si="42"/>
        <v>1.6258254260327822E-3</v>
      </c>
      <c r="AE247">
        <f t="shared" si="43"/>
        <v>-2.2619605907807736E-3</v>
      </c>
      <c r="AF247">
        <f t="shared" si="44"/>
        <v>-6.0485398638684333E-5</v>
      </c>
      <c r="AG247">
        <f t="shared" si="49"/>
        <v>-3.0832939715826303E-3</v>
      </c>
    </row>
    <row r="248" spans="1:33" x14ac:dyDescent="0.3">
      <c r="A248" s="17">
        <v>45642</v>
      </c>
      <c r="B248">
        <v>98.1</v>
      </c>
      <c r="C248">
        <v>97.5</v>
      </c>
      <c r="D248">
        <v>109.25</v>
      </c>
      <c r="E248">
        <v>108.35</v>
      </c>
      <c r="F248">
        <v>100.45</v>
      </c>
      <c r="G248">
        <v>99.55</v>
      </c>
      <c r="H248">
        <v>98.15</v>
      </c>
      <c r="I248">
        <v>97.25</v>
      </c>
      <c r="K248">
        <f t="shared" si="45"/>
        <v>-5.126890653187235E-4</v>
      </c>
      <c r="L248">
        <f t="shared" si="46"/>
        <v>-1.3834449981462115E-3</v>
      </c>
      <c r="M248">
        <f t="shared" si="47"/>
        <v>-3.509655144302625E-3</v>
      </c>
      <c r="N248">
        <f t="shared" si="48"/>
        <v>2.0397763319203962E-3</v>
      </c>
      <c r="AB248">
        <f t="shared" si="40"/>
        <v>-5.0941433369128502E-4</v>
      </c>
      <c r="AC248">
        <f t="shared" si="41"/>
        <v>2.7654541344786752E-4</v>
      </c>
      <c r="AD248">
        <f t="shared" si="42"/>
        <v>-1.0204707654364214E-3</v>
      </c>
      <c r="AE248">
        <f t="shared" si="43"/>
        <v>-6.3385416652356826E-5</v>
      </c>
      <c r="AF248">
        <f t="shared" si="44"/>
        <v>-6.7714258586304399E-4</v>
      </c>
      <c r="AG248">
        <f t="shared" si="49"/>
        <v>3.8523752108529034E-4</v>
      </c>
    </row>
    <row r="249" spans="1:33" x14ac:dyDescent="0.3">
      <c r="A249" s="17">
        <v>45643</v>
      </c>
      <c r="B249">
        <v>98</v>
      </c>
      <c r="C249">
        <v>97.4</v>
      </c>
      <c r="D249">
        <v>109.2</v>
      </c>
      <c r="E249">
        <v>108.3</v>
      </c>
      <c r="F249">
        <v>100.5</v>
      </c>
      <c r="G249">
        <v>99.6</v>
      </c>
      <c r="H249">
        <v>98.05</v>
      </c>
      <c r="I249">
        <v>97.15</v>
      </c>
      <c r="K249">
        <f t="shared" si="45"/>
        <v>-1.0261673553120061E-3</v>
      </c>
      <c r="L249">
        <f t="shared" si="46"/>
        <v>-4.615739754231516E-4</v>
      </c>
      <c r="M249">
        <f t="shared" si="47"/>
        <v>5.0213408034728124E-4</v>
      </c>
      <c r="N249">
        <f t="shared" si="48"/>
        <v>-1.0193680801149027E-3</v>
      </c>
      <c r="AB249">
        <f t="shared" si="40"/>
        <v>-3.0062219576540861E-3</v>
      </c>
      <c r="AC249">
        <f t="shared" si="41"/>
        <v>7.7959318419481443E-4</v>
      </c>
      <c r="AD249">
        <f t="shared" si="42"/>
        <v>-2.6506608053346713E-3</v>
      </c>
      <c r="AE249">
        <f t="shared" si="43"/>
        <v>-1.4848872389782249E-3</v>
      </c>
      <c r="AF249">
        <f t="shared" si="44"/>
        <v>-3.1702762447779215E-3</v>
      </c>
      <c r="AG249">
        <f t="shared" si="49"/>
        <v>6.9097942834799963E-4</v>
      </c>
    </row>
    <row r="250" spans="1:33" x14ac:dyDescent="0.3">
      <c r="A250" s="17">
        <v>45644</v>
      </c>
      <c r="B250">
        <v>97.95</v>
      </c>
      <c r="C250">
        <v>97.35</v>
      </c>
      <c r="D250">
        <v>108.75</v>
      </c>
      <c r="E250">
        <v>107.95</v>
      </c>
      <c r="F250">
        <v>100.6</v>
      </c>
      <c r="G250">
        <v>99.7</v>
      </c>
      <c r="H250">
        <v>97.75</v>
      </c>
      <c r="I250">
        <v>96.85</v>
      </c>
      <c r="K250">
        <f t="shared" si="45"/>
        <v>-5.1347883028088381E-4</v>
      </c>
      <c r="L250">
        <f t="shared" si="46"/>
        <v>-3.2369970461285365E-3</v>
      </c>
      <c r="M250">
        <f t="shared" si="47"/>
        <v>1.003512377240109E-3</v>
      </c>
      <c r="N250">
        <f t="shared" si="48"/>
        <v>-3.0643537768801142E-3</v>
      </c>
      <c r="AB250">
        <f t="shared" si="40"/>
        <v>1.0966479471383418E-3</v>
      </c>
      <c r="AC250">
        <f t="shared" si="41"/>
        <v>-1.586964805639133E-3</v>
      </c>
      <c r="AD250">
        <f t="shared" si="42"/>
        <v>-1.6201753697217118E-3</v>
      </c>
      <c r="AE250">
        <f t="shared" si="43"/>
        <v>1.9272528057039605E-4</v>
      </c>
      <c r="AF250">
        <f t="shared" si="44"/>
        <v>2.5843473735826243E-4</v>
      </c>
      <c r="AG250">
        <f t="shared" si="49"/>
        <v>-1.5079558807757436E-3</v>
      </c>
    </row>
    <row r="251" spans="1:33" x14ac:dyDescent="0.3">
      <c r="A251" s="17">
        <v>45645</v>
      </c>
      <c r="B251">
        <v>97.75</v>
      </c>
      <c r="C251">
        <v>97.15</v>
      </c>
      <c r="D251">
        <v>109</v>
      </c>
      <c r="E251">
        <v>108.1</v>
      </c>
      <c r="F251">
        <v>100.45</v>
      </c>
      <c r="G251">
        <v>99.55</v>
      </c>
      <c r="H251">
        <v>97.6</v>
      </c>
      <c r="I251">
        <v>96.65</v>
      </c>
      <c r="K251">
        <f t="shared" si="45"/>
        <v>-2.0565559947594994E-3</v>
      </c>
      <c r="L251">
        <f t="shared" si="46"/>
        <v>1.3885676843461922E-3</v>
      </c>
      <c r="M251">
        <f t="shared" si="47"/>
        <v>-1.5056464575874601E-3</v>
      </c>
      <c r="N251">
        <f t="shared" si="48"/>
        <v>-1.535705446428354E-3</v>
      </c>
      <c r="AB251">
        <f t="shared" si="40"/>
        <v>0</v>
      </c>
      <c r="AC251">
        <f t="shared" si="41"/>
        <v>4.2801535275383321E-4</v>
      </c>
      <c r="AD251">
        <f t="shared" si="42"/>
        <v>1.7150939616270712E-3</v>
      </c>
      <c r="AE251">
        <f t="shared" si="43"/>
        <v>2.0747366857210492E-4</v>
      </c>
      <c r="AF251">
        <f t="shared" si="44"/>
        <v>7.9112878404003016E-4</v>
      </c>
      <c r="AG251">
        <f t="shared" si="49"/>
        <v>6.2083209492358991E-4</v>
      </c>
    </row>
    <row r="252" spans="1:33" x14ac:dyDescent="0.3">
      <c r="A252" s="17">
        <v>45646</v>
      </c>
      <c r="B252">
        <v>97.75</v>
      </c>
      <c r="C252">
        <v>97.15</v>
      </c>
      <c r="D252">
        <v>109</v>
      </c>
      <c r="E252">
        <v>108.1</v>
      </c>
      <c r="F252">
        <v>100.5</v>
      </c>
      <c r="G252">
        <v>99.6</v>
      </c>
      <c r="H252">
        <v>97.8</v>
      </c>
      <c r="I252">
        <v>96.9</v>
      </c>
      <c r="K252">
        <f t="shared" si="45"/>
        <v>0</v>
      </c>
      <c r="L252">
        <f t="shared" si="46"/>
        <v>0</v>
      </c>
      <c r="M252">
        <f t="shared" si="47"/>
        <v>5.0213408034728124E-4</v>
      </c>
      <c r="N252">
        <f t="shared" si="48"/>
        <v>2.047083621724823E-3</v>
      </c>
      <c r="AB252">
        <f t="shared" si="40"/>
        <v>1.8225332405535177E-3</v>
      </c>
      <c r="AC252">
        <f t="shared" si="41"/>
        <v>2.2773073619908706E-4</v>
      </c>
      <c r="AD252">
        <f t="shared" si="42"/>
        <v>2.8162845201809457E-3</v>
      </c>
      <c r="AE252">
        <f t="shared" si="43"/>
        <v>1.084688289835713E-3</v>
      </c>
      <c r="AF252">
        <f t="shared" si="44"/>
        <v>2.3177386139813273E-3</v>
      </c>
      <c r="AG252">
        <f t="shared" si="49"/>
        <v>2.3531321030506212E-4</v>
      </c>
    </row>
    <row r="253" spans="1:33" x14ac:dyDescent="0.3">
      <c r="A253" s="17">
        <v>45649</v>
      </c>
      <c r="B253">
        <v>97.9</v>
      </c>
      <c r="C253">
        <v>97.3</v>
      </c>
      <c r="D253">
        <v>109.2</v>
      </c>
      <c r="E253">
        <v>108.3</v>
      </c>
      <c r="F253">
        <v>100.5</v>
      </c>
      <c r="G253">
        <v>99.6</v>
      </c>
      <c r="H253">
        <v>98.1</v>
      </c>
      <c r="I253">
        <v>97.2</v>
      </c>
      <c r="K253">
        <f t="shared" si="45"/>
        <v>1.5428133685102053E-3</v>
      </c>
      <c r="L253">
        <f t="shared" si="46"/>
        <v>1.8484293617823751E-3</v>
      </c>
      <c r="M253">
        <f t="shared" si="47"/>
        <v>0</v>
      </c>
      <c r="N253">
        <f t="shared" si="48"/>
        <v>3.0627895305457308E-3</v>
      </c>
      <c r="AB253">
        <f t="shared" si="40"/>
        <v>8.4473085635615919E-4</v>
      </c>
      <c r="AC253">
        <f t="shared" si="41"/>
        <v>2.9901047448072553E-3</v>
      </c>
      <c r="AD253">
        <f t="shared" si="42"/>
        <v>0</v>
      </c>
      <c r="AE253">
        <f t="shared" si="43"/>
        <v>1.9909991609378618E-3</v>
      </c>
      <c r="AF253">
        <f t="shared" si="44"/>
        <v>5.6625174666031586E-4</v>
      </c>
      <c r="AG253">
        <f t="shared" si="49"/>
        <v>3.2383857203128422E-3</v>
      </c>
    </row>
    <row r="254" spans="1:33" x14ac:dyDescent="0.3">
      <c r="A254" s="17">
        <v>45650</v>
      </c>
      <c r="B254">
        <v>97.9</v>
      </c>
      <c r="C254">
        <v>97.3</v>
      </c>
      <c r="D254">
        <v>109.3</v>
      </c>
      <c r="E254">
        <v>108.4</v>
      </c>
      <c r="F254">
        <v>100.85</v>
      </c>
      <c r="G254">
        <v>99.95</v>
      </c>
      <c r="H254">
        <v>98.1</v>
      </c>
      <c r="I254">
        <v>97.2</v>
      </c>
      <c r="K254">
        <f t="shared" si="45"/>
        <v>0</v>
      </c>
      <c r="L254">
        <f t="shared" si="46"/>
        <v>9.2293499860089873E-4</v>
      </c>
      <c r="M254">
        <f t="shared" si="47"/>
        <v>3.5078963558565638E-3</v>
      </c>
      <c r="N254">
        <f t="shared" si="48"/>
        <v>0</v>
      </c>
      <c r="AB254">
        <f t="shared" si="40"/>
        <v>0</v>
      </c>
      <c r="AC254">
        <f t="shared" si="41"/>
        <v>0</v>
      </c>
      <c r="AD254">
        <f t="shared" si="42"/>
        <v>0</v>
      </c>
      <c r="AE254">
        <f t="shared" si="43"/>
        <v>0</v>
      </c>
      <c r="AF254">
        <f t="shared" si="44"/>
        <v>0</v>
      </c>
      <c r="AG254">
        <f t="shared" si="49"/>
        <v>0</v>
      </c>
    </row>
    <row r="255" spans="1:33" x14ac:dyDescent="0.3">
      <c r="A255" s="17">
        <v>45651</v>
      </c>
      <c r="B255">
        <v>97.9</v>
      </c>
      <c r="C255">
        <v>97.3</v>
      </c>
      <c r="D255">
        <v>109.3</v>
      </c>
      <c r="E255">
        <v>108.4</v>
      </c>
      <c r="F255">
        <v>100.85</v>
      </c>
      <c r="G255">
        <v>99.95</v>
      </c>
      <c r="H255">
        <v>98.1</v>
      </c>
      <c r="I255">
        <v>97.2</v>
      </c>
      <c r="K255">
        <f t="shared" si="45"/>
        <v>0</v>
      </c>
      <c r="L255">
        <f t="shared" si="46"/>
        <v>0</v>
      </c>
      <c r="M255">
        <f t="shared" si="47"/>
        <v>0</v>
      </c>
      <c r="N255">
        <f t="shared" si="48"/>
        <v>0</v>
      </c>
      <c r="AB255">
        <f t="shared" si="40"/>
        <v>0</v>
      </c>
      <c r="AC255">
        <f t="shared" si="41"/>
        <v>0</v>
      </c>
      <c r="AD255">
        <f t="shared" si="42"/>
        <v>0</v>
      </c>
      <c r="AE255">
        <f t="shared" si="43"/>
        <v>0</v>
      </c>
      <c r="AF255">
        <f t="shared" si="44"/>
        <v>0</v>
      </c>
      <c r="AG255">
        <f t="shared" si="49"/>
        <v>0</v>
      </c>
    </row>
    <row r="256" spans="1:33" x14ac:dyDescent="0.3">
      <c r="A256" s="17">
        <v>45652</v>
      </c>
      <c r="B256">
        <v>97.9</v>
      </c>
      <c r="C256">
        <v>97.3</v>
      </c>
      <c r="D256">
        <v>109.3</v>
      </c>
      <c r="E256">
        <v>108.4</v>
      </c>
      <c r="F256">
        <v>100.85</v>
      </c>
      <c r="G256">
        <v>99.95</v>
      </c>
      <c r="H256">
        <v>98.1</v>
      </c>
      <c r="I256">
        <v>97.2</v>
      </c>
      <c r="K256">
        <f t="shared" si="45"/>
        <v>0</v>
      </c>
      <c r="L256">
        <f t="shared" si="46"/>
        <v>0</v>
      </c>
      <c r="M256">
        <f t="shared" si="47"/>
        <v>0</v>
      </c>
      <c r="N256">
        <f t="shared" si="48"/>
        <v>0</v>
      </c>
      <c r="AB256">
        <f t="shared" si="40"/>
        <v>2.1519540967073606E-3</v>
      </c>
      <c r="AC256">
        <f t="shared" si="41"/>
        <v>-1.6315144688554702E-3</v>
      </c>
      <c r="AD256">
        <f t="shared" si="42"/>
        <v>1.3634138528054527E-3</v>
      </c>
      <c r="AE256">
        <f t="shared" si="43"/>
        <v>5.2419088310596564E-4</v>
      </c>
      <c r="AF256">
        <f t="shared" si="44"/>
        <v>2.00382285266379E-3</v>
      </c>
      <c r="AG256">
        <f t="shared" si="49"/>
        <v>-1.7317279956341289E-3</v>
      </c>
    </row>
    <row r="257" spans="1:33" x14ac:dyDescent="0.3">
      <c r="A257" s="17">
        <v>45653</v>
      </c>
      <c r="B257">
        <v>97.95</v>
      </c>
      <c r="C257">
        <v>97.35</v>
      </c>
      <c r="D257">
        <v>109.55</v>
      </c>
      <c r="E257">
        <v>108.65</v>
      </c>
      <c r="F257">
        <v>100.65</v>
      </c>
      <c r="G257">
        <v>99.75</v>
      </c>
      <c r="H257">
        <v>98.25</v>
      </c>
      <c r="I257">
        <v>97.35</v>
      </c>
      <c r="K257">
        <f t="shared" si="45"/>
        <v>5.1374262624934283E-4</v>
      </c>
      <c r="L257">
        <f t="shared" si="46"/>
        <v>2.303617696892751E-3</v>
      </c>
      <c r="M257">
        <f t="shared" si="47"/>
        <v>-2.0030051764363126E-3</v>
      </c>
      <c r="N257">
        <f t="shared" si="48"/>
        <v>1.5278841780531714E-3</v>
      </c>
      <c r="AB257">
        <f t="shared" si="40"/>
        <v>2.1035766968148339E-3</v>
      </c>
      <c r="AC257">
        <f t="shared" si="41"/>
        <v>1.2808305296524239E-3</v>
      </c>
      <c r="AD257">
        <f t="shared" si="42"/>
        <v>4.2626462770244556E-4</v>
      </c>
      <c r="AE257">
        <f t="shared" si="43"/>
        <v>1.9695556318724216E-3</v>
      </c>
      <c r="AF257">
        <f t="shared" si="44"/>
        <v>1.6067237362249619E-3</v>
      </c>
      <c r="AG257">
        <f t="shared" si="49"/>
        <v>1.4262724166764797E-3</v>
      </c>
    </row>
    <row r="258" spans="1:33" x14ac:dyDescent="0.3">
      <c r="A258" s="17">
        <v>45656</v>
      </c>
      <c r="B258">
        <v>97.95</v>
      </c>
      <c r="C258">
        <v>97.35</v>
      </c>
      <c r="D258">
        <v>109.8</v>
      </c>
      <c r="E258">
        <v>108.9</v>
      </c>
      <c r="F258">
        <v>100.8</v>
      </c>
      <c r="G258">
        <v>99.9</v>
      </c>
      <c r="H258">
        <v>98.3</v>
      </c>
      <c r="I258">
        <v>97.4</v>
      </c>
      <c r="K258">
        <f t="shared" si="45"/>
        <v>0</v>
      </c>
      <c r="L258">
        <f t="shared" si="46"/>
        <v>2.2983232364760606E-3</v>
      </c>
      <c r="M258">
        <f t="shared" si="47"/>
        <v>1.5026298845350965E-3</v>
      </c>
      <c r="N258">
        <f t="shared" si="48"/>
        <v>5.0877640375020044E-4</v>
      </c>
      <c r="AB258">
        <f t="shared" si="40"/>
        <v>0</v>
      </c>
      <c r="AC258">
        <f t="shared" si="41"/>
        <v>0</v>
      </c>
      <c r="AD258">
        <f t="shared" si="42"/>
        <v>0</v>
      </c>
      <c r="AE258">
        <f t="shared" si="43"/>
        <v>0</v>
      </c>
      <c r="AF258">
        <f t="shared" si="44"/>
        <v>0</v>
      </c>
      <c r="AG258">
        <f t="shared" si="49"/>
        <v>0</v>
      </c>
    </row>
    <row r="259" spans="1:33" x14ac:dyDescent="0.3">
      <c r="A259" s="17">
        <v>45657</v>
      </c>
      <c r="B259">
        <v>97.95</v>
      </c>
      <c r="C259">
        <v>97.35</v>
      </c>
      <c r="D259">
        <v>109.8</v>
      </c>
      <c r="E259">
        <v>108.9</v>
      </c>
      <c r="F259">
        <v>100.8</v>
      </c>
      <c r="G259">
        <v>99.9</v>
      </c>
      <c r="H259">
        <v>98.3</v>
      </c>
      <c r="I259">
        <v>97.4</v>
      </c>
      <c r="K259">
        <f t="shared" si="45"/>
        <v>0</v>
      </c>
      <c r="L259">
        <f t="shared" si="46"/>
        <v>0</v>
      </c>
      <c r="M259">
        <f t="shared" si="47"/>
        <v>0</v>
      </c>
      <c r="N259">
        <f t="shared" si="48"/>
        <v>0</v>
      </c>
      <c r="AB259">
        <f t="shared" ref="AB259:AB322" si="50">K260*$S$108+L260*$T$108</f>
        <v>0</v>
      </c>
      <c r="AC259">
        <f t="shared" ref="AC259:AC322" si="51">K260*$S$109+M260*$T$109</f>
        <v>0</v>
      </c>
      <c r="AD259">
        <f t="shared" ref="AD259:AD322" si="52">K260*$S$110+N260*$T$110</f>
        <v>0</v>
      </c>
      <c r="AE259">
        <f t="shared" ref="AE259:AE322" si="53">L260*$S$111+M260*$T$111</f>
        <v>0</v>
      </c>
      <c r="AF259">
        <f t="shared" ref="AF259:AF322" si="54">L260*$S$112+N260*$T$112</f>
        <v>0</v>
      </c>
      <c r="AG259">
        <f t="shared" si="49"/>
        <v>0</v>
      </c>
    </row>
    <row r="260" spans="1:33" x14ac:dyDescent="0.3">
      <c r="A260" s="17">
        <v>45658</v>
      </c>
      <c r="B260">
        <v>97.95</v>
      </c>
      <c r="C260">
        <v>97.35</v>
      </c>
      <c r="D260">
        <v>109.8</v>
      </c>
      <c r="E260">
        <v>108.9</v>
      </c>
      <c r="F260">
        <v>100.8</v>
      </c>
      <c r="G260">
        <v>99.9</v>
      </c>
      <c r="H260">
        <v>98.3</v>
      </c>
      <c r="I260">
        <v>97.4</v>
      </c>
      <c r="K260">
        <f t="shared" ref="K260:K323" si="55">LN(C260/C259)</f>
        <v>0</v>
      </c>
      <c r="L260">
        <f t="shared" ref="L260:L323" si="56">LN(E260/E259)</f>
        <v>0</v>
      </c>
      <c r="M260">
        <f t="shared" ref="M260:M323" si="57">LN(G260/G259)</f>
        <v>0</v>
      </c>
      <c r="N260">
        <f t="shared" ref="N260:N323" si="58">LN(H260/H259)</f>
        <v>0</v>
      </c>
      <c r="AB260">
        <f t="shared" si="50"/>
        <v>5.0713188492575092E-4</v>
      </c>
      <c r="AC260">
        <f t="shared" si="51"/>
        <v>-2.7518200361347693E-4</v>
      </c>
      <c r="AD260">
        <f t="shared" si="52"/>
        <v>5.688300652140983E-3</v>
      </c>
      <c r="AE260">
        <f t="shared" si="53"/>
        <v>6.251662258848517E-5</v>
      </c>
      <c r="AF260">
        <f t="shared" si="54"/>
        <v>2.8286932654616528E-3</v>
      </c>
      <c r="AG260">
        <f t="shared" ref="AG260:AG323" si="59">M261*$S$113+N261*$T$113</f>
        <v>4.4194428923352298E-5</v>
      </c>
    </row>
    <row r="261" spans="1:33" x14ac:dyDescent="0.3">
      <c r="A261" s="17">
        <v>45659</v>
      </c>
      <c r="B261">
        <v>98.05</v>
      </c>
      <c r="C261">
        <v>97.45</v>
      </c>
      <c r="D261">
        <v>109.85</v>
      </c>
      <c r="E261">
        <v>108.95</v>
      </c>
      <c r="F261">
        <v>100.75</v>
      </c>
      <c r="G261">
        <v>99.85</v>
      </c>
      <c r="H261">
        <v>98.95</v>
      </c>
      <c r="I261">
        <v>98.05</v>
      </c>
      <c r="K261">
        <f t="shared" si="55"/>
        <v>1.0266941353612971E-3</v>
      </c>
      <c r="L261">
        <f t="shared" si="56"/>
        <v>4.5903145171400723E-4</v>
      </c>
      <c r="M261">
        <f t="shared" si="57"/>
        <v>-5.0062579268376746E-4</v>
      </c>
      <c r="N261">
        <f t="shared" si="58"/>
        <v>6.5906448954540274E-3</v>
      </c>
      <c r="AB261">
        <f t="shared" si="50"/>
        <v>-1.3044732800402456E-3</v>
      </c>
      <c r="AC261">
        <f t="shared" si="51"/>
        <v>-2.2126132694994679E-3</v>
      </c>
      <c r="AD261">
        <f t="shared" si="52"/>
        <v>-3.90213316965383E-3</v>
      </c>
      <c r="AE261">
        <f t="shared" si="53"/>
        <v>-1.8442810214211469E-3</v>
      </c>
      <c r="AF261">
        <f t="shared" si="54"/>
        <v>-2.6068431157480519E-3</v>
      </c>
      <c r="AG261">
        <f t="shared" si="59"/>
        <v>-2.6644905555533857E-3</v>
      </c>
    </row>
    <row r="262" spans="1:33" x14ac:dyDescent="0.3">
      <c r="A262" s="17">
        <v>45660</v>
      </c>
      <c r="B262">
        <v>98</v>
      </c>
      <c r="C262">
        <v>97.4</v>
      </c>
      <c r="D262">
        <v>109.6</v>
      </c>
      <c r="E262">
        <v>108.8</v>
      </c>
      <c r="F262">
        <v>100.5</v>
      </c>
      <c r="G262">
        <v>99.6</v>
      </c>
      <c r="H262">
        <v>98.5</v>
      </c>
      <c r="I262">
        <v>97.6</v>
      </c>
      <c r="K262">
        <f t="shared" si="55"/>
        <v>-5.1321530508042113E-4</v>
      </c>
      <c r="L262">
        <f t="shared" si="56"/>
        <v>-1.3777269687867033E-3</v>
      </c>
      <c r="M262">
        <f t="shared" si="57"/>
        <v>-2.5068952712716751E-3</v>
      </c>
      <c r="N262">
        <f t="shared" si="58"/>
        <v>-4.5581238705315712E-3</v>
      </c>
      <c r="AB262">
        <f t="shared" si="50"/>
        <v>-3.4146578371589188E-3</v>
      </c>
      <c r="AC262">
        <f t="shared" si="51"/>
        <v>7.7959318419481443E-4</v>
      </c>
      <c r="AD262">
        <f t="shared" si="52"/>
        <v>-8.3274400968880876E-5</v>
      </c>
      <c r="AE262">
        <f t="shared" si="53"/>
        <v>-1.7467530107989535E-3</v>
      </c>
      <c r="AF262">
        <f t="shared" si="54"/>
        <v>-2.2597952765016612E-3</v>
      </c>
      <c r="AG262">
        <f t="shared" si="59"/>
        <v>9.2641281923451556E-4</v>
      </c>
    </row>
    <row r="263" spans="1:33" x14ac:dyDescent="0.3">
      <c r="A263" s="17">
        <v>45663</v>
      </c>
      <c r="B263">
        <v>97.95</v>
      </c>
      <c r="C263">
        <v>97.35</v>
      </c>
      <c r="D263">
        <v>109.3</v>
      </c>
      <c r="E263">
        <v>108.4</v>
      </c>
      <c r="F263">
        <v>100.6</v>
      </c>
      <c r="G263">
        <v>99.7</v>
      </c>
      <c r="H263">
        <v>98.5</v>
      </c>
      <c r="I263">
        <v>97.6</v>
      </c>
      <c r="K263">
        <f t="shared" si="55"/>
        <v>-5.1347883028088381E-4</v>
      </c>
      <c r="L263">
        <f t="shared" si="56"/>
        <v>-3.6832454162962934E-3</v>
      </c>
      <c r="M263">
        <f t="shared" si="57"/>
        <v>1.003512377240109E-3</v>
      </c>
      <c r="N263">
        <f t="shared" si="58"/>
        <v>0</v>
      </c>
      <c r="AB263">
        <f t="shared" si="50"/>
        <v>8.6996087834301591E-5</v>
      </c>
      <c r="AC263">
        <f t="shared" si="51"/>
        <v>-2.7603824583544287E-4</v>
      </c>
      <c r="AD263">
        <f t="shared" si="52"/>
        <v>-2.3891332564686726E-3</v>
      </c>
      <c r="AE263">
        <f t="shared" si="53"/>
        <v>-2.0726551840676271E-4</v>
      </c>
      <c r="AF263">
        <f t="shared" si="54"/>
        <v>-1.1788507647236015E-3</v>
      </c>
      <c r="AG263">
        <f t="shared" si="59"/>
        <v>-6.9744636603031945E-4</v>
      </c>
    </row>
    <row r="264" spans="1:33" x14ac:dyDescent="0.3">
      <c r="A264" s="17">
        <v>45664</v>
      </c>
      <c r="B264">
        <v>98.05</v>
      </c>
      <c r="C264">
        <v>97.45</v>
      </c>
      <c r="D264">
        <v>109.3</v>
      </c>
      <c r="E264">
        <v>108.4</v>
      </c>
      <c r="F264">
        <v>100.55</v>
      </c>
      <c r="G264">
        <v>99.65</v>
      </c>
      <c r="H264">
        <v>98.2</v>
      </c>
      <c r="I264">
        <v>97.3</v>
      </c>
      <c r="K264">
        <f t="shared" si="55"/>
        <v>1.0266941353612971E-3</v>
      </c>
      <c r="L264">
        <f t="shared" si="56"/>
        <v>0</v>
      </c>
      <c r="M264">
        <f t="shared" si="57"/>
        <v>-5.0163030898888394E-4</v>
      </c>
      <c r="N264">
        <f t="shared" si="58"/>
        <v>-3.05033281762298E-3</v>
      </c>
      <c r="AB264">
        <f t="shared" si="50"/>
        <v>-8.0126628391951108E-4</v>
      </c>
      <c r="AC264">
        <f t="shared" si="51"/>
        <v>-3.3527156560393002E-3</v>
      </c>
      <c r="AD264">
        <f t="shared" si="52"/>
        <v>-1.1975599796207707E-3</v>
      </c>
      <c r="AE264">
        <f t="shared" si="53"/>
        <v>-2.203470971541797E-3</v>
      </c>
      <c r="AF264">
        <f t="shared" si="54"/>
        <v>-1.1570283346392417E-3</v>
      </c>
      <c r="AG264">
        <f t="shared" si="59"/>
        <v>-3.8305549639897113E-3</v>
      </c>
    </row>
    <row r="265" spans="1:33" x14ac:dyDescent="0.3">
      <c r="A265" s="17">
        <v>45665</v>
      </c>
      <c r="B265">
        <v>98.1</v>
      </c>
      <c r="C265">
        <v>97.5</v>
      </c>
      <c r="D265">
        <v>109.1</v>
      </c>
      <c r="E265">
        <v>108.3</v>
      </c>
      <c r="F265">
        <v>100.15</v>
      </c>
      <c r="G265">
        <v>99.25</v>
      </c>
      <c r="H265">
        <v>98.05</v>
      </c>
      <c r="I265">
        <v>97.1</v>
      </c>
      <c r="K265">
        <f t="shared" si="55"/>
        <v>5.1295205023169457E-4</v>
      </c>
      <c r="L265">
        <f t="shared" si="56"/>
        <v>-9.2293499860095056E-4</v>
      </c>
      <c r="M265">
        <f t="shared" si="57"/>
        <v>-4.0221270915040365E-3</v>
      </c>
      <c r="N265">
        <f t="shared" si="58"/>
        <v>-1.5286627180649711E-3</v>
      </c>
      <c r="AB265">
        <f t="shared" si="50"/>
        <v>-9.3438621234838339E-3</v>
      </c>
      <c r="AC265">
        <f t="shared" si="51"/>
        <v>-5.168641751488884E-3</v>
      </c>
      <c r="AD265">
        <f t="shared" si="52"/>
        <v>0</v>
      </c>
      <c r="AE265">
        <f t="shared" si="53"/>
        <v>-8.4961683235175948E-3</v>
      </c>
      <c r="AF265">
        <f t="shared" si="54"/>
        <v>-6.2635077293128781E-3</v>
      </c>
      <c r="AG265">
        <f t="shared" si="59"/>
        <v>-5.5978158191623186E-3</v>
      </c>
    </row>
    <row r="266" spans="1:33" x14ac:dyDescent="0.3">
      <c r="A266" s="17">
        <v>45666</v>
      </c>
      <c r="B266">
        <v>98.1</v>
      </c>
      <c r="C266">
        <v>97.5</v>
      </c>
      <c r="D266">
        <v>108.1</v>
      </c>
      <c r="E266">
        <v>107.2</v>
      </c>
      <c r="F266">
        <v>99.55</v>
      </c>
      <c r="G266">
        <v>98.65</v>
      </c>
      <c r="H266">
        <v>98.05</v>
      </c>
      <c r="I266">
        <v>97.1</v>
      </c>
      <c r="K266">
        <f t="shared" si="55"/>
        <v>0</v>
      </c>
      <c r="L266">
        <f t="shared" si="56"/>
        <v>-1.0208905370243215E-2</v>
      </c>
      <c r="M266">
        <f t="shared" si="57"/>
        <v>-6.0636870986754306E-3</v>
      </c>
      <c r="N266">
        <f t="shared" si="58"/>
        <v>0</v>
      </c>
      <c r="AB266">
        <f t="shared" si="50"/>
        <v>1.4884484044026436E-3</v>
      </c>
      <c r="AC266">
        <f t="shared" si="51"/>
        <v>5.2952531853310732E-5</v>
      </c>
      <c r="AD266">
        <f t="shared" si="52"/>
        <v>-3.8413053849858242E-3</v>
      </c>
      <c r="AE266">
        <f t="shared" si="53"/>
        <v>1.3031523380558532E-3</v>
      </c>
      <c r="AF266">
        <f t="shared" si="54"/>
        <v>-4.3624765759273727E-4</v>
      </c>
      <c r="AG266">
        <f t="shared" si="59"/>
        <v>1.5371150314034851E-4</v>
      </c>
    </row>
    <row r="267" spans="1:33" x14ac:dyDescent="0.3">
      <c r="A267" s="17">
        <v>45667</v>
      </c>
      <c r="B267">
        <v>97.85</v>
      </c>
      <c r="C267">
        <v>97.25</v>
      </c>
      <c r="D267">
        <v>108.3</v>
      </c>
      <c r="E267">
        <v>107.4</v>
      </c>
      <c r="F267">
        <v>99.6</v>
      </c>
      <c r="G267">
        <v>98.7</v>
      </c>
      <c r="H267">
        <v>97.65</v>
      </c>
      <c r="I267">
        <v>96.7</v>
      </c>
      <c r="K267">
        <f t="shared" si="55"/>
        <v>-2.5673955052458097E-3</v>
      </c>
      <c r="L267">
        <f t="shared" si="56"/>
        <v>1.8639334380627327E-3</v>
      </c>
      <c r="M267">
        <f t="shared" si="57"/>
        <v>5.0671397081149922E-4</v>
      </c>
      <c r="N267">
        <f t="shared" si="58"/>
        <v>-4.0878953196672079E-3</v>
      </c>
      <c r="AB267">
        <f t="shared" si="50"/>
        <v>-1.7059945626858757E-3</v>
      </c>
      <c r="AC267">
        <f t="shared" si="51"/>
        <v>-1.1301647704746435E-2</v>
      </c>
      <c r="AD267">
        <f t="shared" si="52"/>
        <v>-8.5842539033916833E-4</v>
      </c>
      <c r="AE267">
        <f t="shared" si="53"/>
        <v>-6.5720812004527885E-3</v>
      </c>
      <c r="AF267">
        <f t="shared" si="54"/>
        <v>-1.5395556032275059E-3</v>
      </c>
      <c r="AG267">
        <f t="shared" si="59"/>
        <v>-1.2318790021565751E-2</v>
      </c>
    </row>
    <row r="268" spans="1:33" x14ac:dyDescent="0.3">
      <c r="A268" s="17">
        <v>45670</v>
      </c>
      <c r="B268">
        <v>97.85</v>
      </c>
      <c r="C268">
        <v>97.25</v>
      </c>
      <c r="D268">
        <v>108.1</v>
      </c>
      <c r="E268">
        <v>107.2</v>
      </c>
      <c r="F268">
        <v>98.3</v>
      </c>
      <c r="G268">
        <v>97.4</v>
      </c>
      <c r="H268">
        <v>97.55</v>
      </c>
      <c r="I268">
        <v>96.65</v>
      </c>
      <c r="K268">
        <f t="shared" si="55"/>
        <v>0</v>
      </c>
      <c r="L268">
        <f t="shared" si="56"/>
        <v>-1.8639334380627533E-3</v>
      </c>
      <c r="M268">
        <f t="shared" si="57"/>
        <v>-1.3258735790946437E-2</v>
      </c>
      <c r="N268">
        <f t="shared" si="58"/>
        <v>-1.0245902535677802E-3</v>
      </c>
      <c r="AB268">
        <f t="shared" si="50"/>
        <v>-4.3576335291791209E-5</v>
      </c>
      <c r="AC268">
        <f t="shared" si="51"/>
        <v>-7.5910232015459196E-5</v>
      </c>
      <c r="AD268">
        <f t="shared" si="52"/>
        <v>-8.3402877808085333E-5</v>
      </c>
      <c r="AE268">
        <f t="shared" si="53"/>
        <v>0</v>
      </c>
      <c r="AF268">
        <f t="shared" si="54"/>
        <v>0</v>
      </c>
      <c r="AG268">
        <f t="shared" si="59"/>
        <v>0</v>
      </c>
    </row>
    <row r="269" spans="1:33" x14ac:dyDescent="0.3">
      <c r="A269" s="17">
        <v>45671</v>
      </c>
      <c r="B269">
        <v>97.8</v>
      </c>
      <c r="C269">
        <v>97.2</v>
      </c>
      <c r="D269">
        <v>108.1</v>
      </c>
      <c r="E269">
        <v>107.2</v>
      </c>
      <c r="F269">
        <v>98.3</v>
      </c>
      <c r="G269">
        <v>97.4</v>
      </c>
      <c r="H269">
        <v>97.55</v>
      </c>
      <c r="I269">
        <v>96.65</v>
      </c>
      <c r="K269">
        <f t="shared" si="55"/>
        <v>-5.1427103216219842E-4</v>
      </c>
      <c r="L269">
        <f t="shared" si="56"/>
        <v>0</v>
      </c>
      <c r="M269">
        <f t="shared" si="57"/>
        <v>0</v>
      </c>
      <c r="N269">
        <f t="shared" si="58"/>
        <v>0</v>
      </c>
      <c r="AB269">
        <f t="shared" si="50"/>
        <v>-7.3297617514925424E-3</v>
      </c>
      <c r="AC269">
        <f t="shared" si="51"/>
        <v>-2.7054399837842307E-3</v>
      </c>
      <c r="AD269">
        <f t="shared" si="52"/>
        <v>-1.7439283565781585E-2</v>
      </c>
      <c r="AE269">
        <f t="shared" si="53"/>
        <v>-5.946075807124418E-3</v>
      </c>
      <c r="AF269">
        <f t="shared" si="54"/>
        <v>-1.2889964302036087E-2</v>
      </c>
      <c r="AG269">
        <f t="shared" si="59"/>
        <v>-4.4393861208455766E-3</v>
      </c>
    </row>
    <row r="270" spans="1:33" x14ac:dyDescent="0.3">
      <c r="A270" s="17">
        <v>45672</v>
      </c>
      <c r="B270">
        <v>97.75</v>
      </c>
      <c r="C270">
        <v>97.15</v>
      </c>
      <c r="D270">
        <v>107.3</v>
      </c>
      <c r="E270">
        <v>106.35</v>
      </c>
      <c r="F270">
        <v>98.05</v>
      </c>
      <c r="G270">
        <v>97.1</v>
      </c>
      <c r="H270">
        <v>95.55</v>
      </c>
      <c r="I270">
        <v>94.6</v>
      </c>
      <c r="K270">
        <f t="shared" si="55"/>
        <v>-5.1453564294422661E-4</v>
      </c>
      <c r="L270">
        <f t="shared" si="56"/>
        <v>-7.9607069904554465E-3</v>
      </c>
      <c r="M270">
        <f t="shared" si="57"/>
        <v>-3.0848353512102624E-3</v>
      </c>
      <c r="N270">
        <f t="shared" si="58"/>
        <v>-2.0715396382838227E-2</v>
      </c>
      <c r="AB270">
        <f t="shared" si="50"/>
        <v>7.9378005212951339E-3</v>
      </c>
      <c r="AC270">
        <f t="shared" si="51"/>
        <v>8.1291858499135533E-3</v>
      </c>
      <c r="AD270">
        <f t="shared" si="52"/>
        <v>6.491807128826731E-3</v>
      </c>
      <c r="AE270">
        <f t="shared" si="53"/>
        <v>8.061716897818566E-3</v>
      </c>
      <c r="AF270">
        <f t="shared" si="54"/>
        <v>7.3033643211081311E-3</v>
      </c>
      <c r="AG270">
        <f t="shared" si="59"/>
        <v>8.0557118175660653E-3</v>
      </c>
    </row>
    <row r="271" spans="1:33" x14ac:dyDescent="0.3">
      <c r="A271" s="17">
        <v>45673</v>
      </c>
      <c r="B271">
        <v>98.5</v>
      </c>
      <c r="C271">
        <v>97.9</v>
      </c>
      <c r="D271">
        <v>108.1</v>
      </c>
      <c r="E271">
        <v>107.2</v>
      </c>
      <c r="F271">
        <v>98.8</v>
      </c>
      <c r="G271">
        <v>97.9</v>
      </c>
      <c r="H271">
        <v>96.15</v>
      </c>
      <c r="I271">
        <v>95.2</v>
      </c>
      <c r="K271">
        <f t="shared" si="55"/>
        <v>7.6903737130156495E-3</v>
      </c>
      <c r="L271">
        <f t="shared" si="56"/>
        <v>7.9607069904554031E-3</v>
      </c>
      <c r="M271">
        <f t="shared" si="57"/>
        <v>8.205174239185516E-3</v>
      </c>
      <c r="N271">
        <f t="shared" si="58"/>
        <v>6.2598013485067345E-3</v>
      </c>
      <c r="AB271">
        <f t="shared" si="50"/>
        <v>4.9785464255592653E-3</v>
      </c>
      <c r="AC271">
        <f t="shared" si="51"/>
        <v>6.4389842362344281E-4</v>
      </c>
      <c r="AD271">
        <f t="shared" si="52"/>
        <v>1.057363797975558E-3</v>
      </c>
      <c r="AE271">
        <f t="shared" si="53"/>
        <v>3.6970930806568486E-3</v>
      </c>
      <c r="AF271">
        <f t="shared" si="54"/>
        <v>4.0268248688009141E-3</v>
      </c>
      <c r="AG271">
        <f t="shared" si="59"/>
        <v>1.062257186313293E-3</v>
      </c>
    </row>
    <row r="272" spans="1:33" x14ac:dyDescent="0.3">
      <c r="A272" s="17">
        <v>45674</v>
      </c>
      <c r="B272">
        <v>98.35</v>
      </c>
      <c r="C272">
        <v>97.75</v>
      </c>
      <c r="D272">
        <v>108.75</v>
      </c>
      <c r="E272">
        <v>107.8</v>
      </c>
      <c r="F272">
        <v>98.9</v>
      </c>
      <c r="G272">
        <v>98</v>
      </c>
      <c r="H272">
        <v>96.3</v>
      </c>
      <c r="I272">
        <v>95.35</v>
      </c>
      <c r="K272">
        <f t="shared" si="55"/>
        <v>-1.5333506709896509E-3</v>
      </c>
      <c r="L272">
        <f t="shared" si="56"/>
        <v>5.5814098381950445E-3</v>
      </c>
      <c r="M272">
        <f t="shared" si="57"/>
        <v>1.020929134107143E-3</v>
      </c>
      <c r="N272">
        <f t="shared" si="58"/>
        <v>1.5588467692910996E-3</v>
      </c>
      <c r="AB272">
        <f t="shared" si="50"/>
        <v>0</v>
      </c>
      <c r="AC272">
        <f t="shared" si="51"/>
        <v>0</v>
      </c>
      <c r="AD272">
        <f t="shared" si="52"/>
        <v>0</v>
      </c>
      <c r="AE272">
        <f t="shared" si="53"/>
        <v>0</v>
      </c>
      <c r="AF272">
        <f t="shared" si="54"/>
        <v>0</v>
      </c>
      <c r="AG272">
        <f t="shared" si="59"/>
        <v>0</v>
      </c>
    </row>
    <row r="273" spans="1:33" x14ac:dyDescent="0.3">
      <c r="A273" s="17">
        <v>45677</v>
      </c>
      <c r="B273">
        <v>98.35</v>
      </c>
      <c r="C273">
        <v>97.75</v>
      </c>
      <c r="D273">
        <v>108.75</v>
      </c>
      <c r="E273">
        <v>107.8</v>
      </c>
      <c r="F273">
        <v>98.9</v>
      </c>
      <c r="G273">
        <v>98</v>
      </c>
      <c r="H273">
        <v>96.3</v>
      </c>
      <c r="I273">
        <v>95.35</v>
      </c>
      <c r="K273">
        <f t="shared" si="55"/>
        <v>0</v>
      </c>
      <c r="L273">
        <f t="shared" si="56"/>
        <v>0</v>
      </c>
      <c r="M273">
        <f t="shared" si="57"/>
        <v>0</v>
      </c>
      <c r="N273">
        <f t="shared" si="58"/>
        <v>0</v>
      </c>
      <c r="AB273">
        <f t="shared" si="50"/>
        <v>1.4458677863329872E-3</v>
      </c>
      <c r="AC273">
        <f t="shared" si="51"/>
        <v>5.5045207188998213E-3</v>
      </c>
      <c r="AD273">
        <f t="shared" si="52"/>
        <v>5.1029428579838195E-3</v>
      </c>
      <c r="AE273">
        <f t="shared" si="53"/>
        <v>3.3379512770632743E-3</v>
      </c>
      <c r="AF273">
        <f t="shared" si="54"/>
        <v>3.0540706143084269E-3</v>
      </c>
      <c r="AG273">
        <f t="shared" si="59"/>
        <v>6.072381724923177E-3</v>
      </c>
    </row>
    <row r="274" spans="1:33" x14ac:dyDescent="0.3">
      <c r="A274" s="17">
        <v>45678</v>
      </c>
      <c r="B274">
        <v>98.55</v>
      </c>
      <c r="C274">
        <v>97.95</v>
      </c>
      <c r="D274">
        <v>108.9</v>
      </c>
      <c r="E274">
        <v>107.95</v>
      </c>
      <c r="F274">
        <v>99.5</v>
      </c>
      <c r="G274">
        <v>98.6</v>
      </c>
      <c r="H274">
        <v>96.85</v>
      </c>
      <c r="I274">
        <v>95.95</v>
      </c>
      <c r="K274">
        <f t="shared" si="55"/>
        <v>2.0439455250746866E-3</v>
      </c>
      <c r="L274">
        <f t="shared" si="56"/>
        <v>1.3904984859196875E-3</v>
      </c>
      <c r="M274">
        <f t="shared" si="57"/>
        <v>6.1037829380176656E-3</v>
      </c>
      <c r="N274">
        <f t="shared" si="58"/>
        <v>5.6950710489250302E-3</v>
      </c>
      <c r="AB274">
        <f t="shared" si="50"/>
        <v>-8.4825383077389443E-4</v>
      </c>
      <c r="AC274">
        <f t="shared" si="51"/>
        <v>-3.4650151662033303E-3</v>
      </c>
      <c r="AD274">
        <f t="shared" si="52"/>
        <v>4.3242483936811456E-4</v>
      </c>
      <c r="AE274">
        <f t="shared" si="53"/>
        <v>-2.2234632019835342E-3</v>
      </c>
      <c r="AF274">
        <f t="shared" si="54"/>
        <v>-3.6914684643000442E-4</v>
      </c>
      <c r="AG274">
        <f t="shared" si="59"/>
        <v>-3.7130759106217374E-3</v>
      </c>
    </row>
    <row r="275" spans="1:33" x14ac:dyDescent="0.3">
      <c r="A275" s="17">
        <v>45679</v>
      </c>
      <c r="B275">
        <v>98.55</v>
      </c>
      <c r="C275">
        <v>97.95</v>
      </c>
      <c r="D275">
        <v>108.75</v>
      </c>
      <c r="E275">
        <v>107.85</v>
      </c>
      <c r="F275">
        <v>99.1</v>
      </c>
      <c r="G275">
        <v>98.2</v>
      </c>
      <c r="H275">
        <v>96.9</v>
      </c>
      <c r="I275">
        <v>96</v>
      </c>
      <c r="K275">
        <f t="shared" si="55"/>
        <v>0</v>
      </c>
      <c r="L275">
        <f t="shared" si="56"/>
        <v>-9.2678412565105667E-4</v>
      </c>
      <c r="M275">
        <f t="shared" si="57"/>
        <v>-4.0650462481694452E-3</v>
      </c>
      <c r="N275">
        <f t="shared" si="58"/>
        <v>5.1612904371587667E-4</v>
      </c>
      <c r="AB275">
        <f t="shared" si="50"/>
        <v>1.2090638660637213E-4</v>
      </c>
      <c r="AC275">
        <f t="shared" si="51"/>
        <v>9.3958134182819415E-3</v>
      </c>
      <c r="AD275">
        <f t="shared" si="52"/>
        <v>2.8708507345765232E-3</v>
      </c>
      <c r="AE275">
        <f t="shared" si="53"/>
        <v>5.0825861894354674E-3</v>
      </c>
      <c r="AF275">
        <f t="shared" si="54"/>
        <v>1.8764088749563287E-3</v>
      </c>
      <c r="AG275">
        <f t="shared" si="59"/>
        <v>1.1064742011851749E-2</v>
      </c>
    </row>
    <row r="276" spans="1:33" x14ac:dyDescent="0.3">
      <c r="A276" s="17">
        <v>45680</v>
      </c>
      <c r="B276">
        <v>98.2</v>
      </c>
      <c r="C276">
        <v>97.6</v>
      </c>
      <c r="D276">
        <v>108.8</v>
      </c>
      <c r="E276">
        <v>107.9</v>
      </c>
      <c r="F276">
        <v>100.25</v>
      </c>
      <c r="G276">
        <v>99.35</v>
      </c>
      <c r="H276">
        <v>97.3</v>
      </c>
      <c r="I276">
        <v>96.4</v>
      </c>
      <c r="K276">
        <f t="shared" si="55"/>
        <v>-3.5796509715030492E-3</v>
      </c>
      <c r="L276">
        <f t="shared" si="56"/>
        <v>4.6349942892373402E-4</v>
      </c>
      <c r="M276">
        <f t="shared" si="57"/>
        <v>1.1642753637405533E-2</v>
      </c>
      <c r="N276">
        <f t="shared" si="58"/>
        <v>4.119470295238804E-3</v>
      </c>
      <c r="AB276">
        <f t="shared" si="50"/>
        <v>1.1307959848729527E-2</v>
      </c>
      <c r="AC276">
        <f t="shared" si="51"/>
        <v>3.1737420217733776E-3</v>
      </c>
      <c r="AD276">
        <f t="shared" si="52"/>
        <v>6.6330109774145299E-4</v>
      </c>
      <c r="AE276">
        <f t="shared" si="53"/>
        <v>8.2736041453371142E-3</v>
      </c>
      <c r="AF276">
        <f t="shared" si="54"/>
        <v>7.3477970916919055E-3</v>
      </c>
      <c r="AG276">
        <f t="shared" si="59"/>
        <v>2.7834301394463884E-3</v>
      </c>
    </row>
    <row r="277" spans="1:33" x14ac:dyDescent="0.3">
      <c r="A277" s="17">
        <v>45681</v>
      </c>
      <c r="B277">
        <v>98.6</v>
      </c>
      <c r="C277">
        <v>98</v>
      </c>
      <c r="D277">
        <v>110.15</v>
      </c>
      <c r="E277">
        <v>109.2</v>
      </c>
      <c r="F277">
        <v>100.55</v>
      </c>
      <c r="G277">
        <v>99.65</v>
      </c>
      <c r="H277">
        <v>97.3</v>
      </c>
      <c r="I277">
        <v>96.4</v>
      </c>
      <c r="K277">
        <f t="shared" si="55"/>
        <v>4.0899852515250664E-3</v>
      </c>
      <c r="L277">
        <f t="shared" si="56"/>
        <v>1.197619104671562E-2</v>
      </c>
      <c r="M277">
        <f t="shared" si="57"/>
        <v>3.0150776609779734E-3</v>
      </c>
      <c r="N277">
        <f t="shared" si="58"/>
        <v>0</v>
      </c>
      <c r="AB277">
        <f t="shared" si="50"/>
        <v>0</v>
      </c>
      <c r="AC277">
        <f t="shared" si="51"/>
        <v>0</v>
      </c>
      <c r="AD277">
        <f t="shared" si="52"/>
        <v>0</v>
      </c>
      <c r="AE277">
        <f t="shared" si="53"/>
        <v>0</v>
      </c>
      <c r="AF277">
        <f t="shared" si="54"/>
        <v>0</v>
      </c>
      <c r="AG277">
        <f t="shared" si="59"/>
        <v>0</v>
      </c>
    </row>
    <row r="278" spans="1:33" x14ac:dyDescent="0.3">
      <c r="A278" s="17">
        <v>45684</v>
      </c>
      <c r="B278">
        <v>98.6</v>
      </c>
      <c r="C278">
        <v>98</v>
      </c>
      <c r="D278">
        <v>110.15</v>
      </c>
      <c r="E278">
        <v>109.2</v>
      </c>
      <c r="F278">
        <v>100.55</v>
      </c>
      <c r="G278">
        <v>99.65</v>
      </c>
      <c r="H278">
        <v>97.3</v>
      </c>
      <c r="I278">
        <v>96.4</v>
      </c>
      <c r="K278">
        <f t="shared" si="55"/>
        <v>0</v>
      </c>
      <c r="L278">
        <f t="shared" si="56"/>
        <v>0</v>
      </c>
      <c r="M278">
        <f t="shared" si="57"/>
        <v>0</v>
      </c>
      <c r="N278">
        <f t="shared" si="58"/>
        <v>0</v>
      </c>
      <c r="AB278">
        <f t="shared" si="50"/>
        <v>0</v>
      </c>
      <c r="AC278">
        <f t="shared" si="51"/>
        <v>0</v>
      </c>
      <c r="AD278">
        <f t="shared" si="52"/>
        <v>0</v>
      </c>
      <c r="AE278">
        <f t="shared" si="53"/>
        <v>0</v>
      </c>
      <c r="AF278">
        <f t="shared" si="54"/>
        <v>0</v>
      </c>
      <c r="AG278">
        <f t="shared" si="59"/>
        <v>0</v>
      </c>
    </row>
    <row r="279" spans="1:33" x14ac:dyDescent="0.3">
      <c r="A279" s="17">
        <v>45685</v>
      </c>
      <c r="B279">
        <v>98.6</v>
      </c>
      <c r="C279">
        <v>98</v>
      </c>
      <c r="D279">
        <v>110.15</v>
      </c>
      <c r="E279">
        <v>109.2</v>
      </c>
      <c r="F279">
        <v>100.55</v>
      </c>
      <c r="G279">
        <v>99.65</v>
      </c>
      <c r="H279">
        <v>97.3</v>
      </c>
      <c r="I279">
        <v>96.4</v>
      </c>
      <c r="K279">
        <f t="shared" si="55"/>
        <v>0</v>
      </c>
      <c r="L279">
        <f t="shared" si="56"/>
        <v>0</v>
      </c>
      <c r="M279">
        <f t="shared" si="57"/>
        <v>0</v>
      </c>
      <c r="N279">
        <f t="shared" si="58"/>
        <v>0</v>
      </c>
      <c r="AB279">
        <f t="shared" si="50"/>
        <v>0</v>
      </c>
      <c r="AC279">
        <f t="shared" si="51"/>
        <v>0</v>
      </c>
      <c r="AD279">
        <f t="shared" si="52"/>
        <v>0</v>
      </c>
      <c r="AE279">
        <f t="shared" si="53"/>
        <v>0</v>
      </c>
      <c r="AF279">
        <f t="shared" si="54"/>
        <v>0</v>
      </c>
      <c r="AG279">
        <f t="shared" si="59"/>
        <v>0</v>
      </c>
    </row>
    <row r="280" spans="1:33" x14ac:dyDescent="0.3">
      <c r="A280" s="17">
        <v>45686</v>
      </c>
      <c r="B280">
        <v>98.6</v>
      </c>
      <c r="C280">
        <v>98</v>
      </c>
      <c r="D280">
        <v>110.15</v>
      </c>
      <c r="E280">
        <v>109.2</v>
      </c>
      <c r="F280">
        <v>100.55</v>
      </c>
      <c r="G280">
        <v>99.65</v>
      </c>
      <c r="H280">
        <v>97.3</v>
      </c>
      <c r="I280">
        <v>96.4</v>
      </c>
      <c r="K280">
        <f t="shared" si="55"/>
        <v>0</v>
      </c>
      <c r="L280">
        <f t="shared" si="56"/>
        <v>0</v>
      </c>
      <c r="M280">
        <f t="shared" si="57"/>
        <v>0</v>
      </c>
      <c r="N280">
        <f t="shared" si="58"/>
        <v>0</v>
      </c>
      <c r="AB280">
        <f t="shared" si="50"/>
        <v>-4.9563802650230155E-3</v>
      </c>
      <c r="AC280">
        <f t="shared" si="51"/>
        <v>5.7812898687208396E-4</v>
      </c>
      <c r="AD280">
        <f t="shared" si="52"/>
        <v>8.7321753309912674E-3</v>
      </c>
      <c r="AE280">
        <f t="shared" si="53"/>
        <v>-3.02588975533406E-3</v>
      </c>
      <c r="AF280">
        <f t="shared" si="54"/>
        <v>5.7127269584908262E-4</v>
      </c>
      <c r="AG280">
        <f t="shared" si="59"/>
        <v>1.2486768320746587E-3</v>
      </c>
    </row>
    <row r="281" spans="1:33" x14ac:dyDescent="0.3">
      <c r="A281" s="17">
        <v>45687</v>
      </c>
      <c r="B281">
        <v>98.7</v>
      </c>
      <c r="C281">
        <v>98.1</v>
      </c>
      <c r="D281">
        <v>109.5</v>
      </c>
      <c r="E281">
        <v>108.6</v>
      </c>
      <c r="F281">
        <v>100.6</v>
      </c>
      <c r="G281">
        <v>99.7</v>
      </c>
      <c r="H281">
        <v>98.3</v>
      </c>
      <c r="I281">
        <v>97.35</v>
      </c>
      <c r="K281">
        <f t="shared" si="55"/>
        <v>1.0198879007453808E-3</v>
      </c>
      <c r="L281">
        <f t="shared" si="56"/>
        <v>-5.5096558109696955E-3</v>
      </c>
      <c r="M281">
        <f t="shared" si="57"/>
        <v>5.016303089889478E-4</v>
      </c>
      <c r="N281">
        <f t="shared" si="58"/>
        <v>1.0225037961161395E-2</v>
      </c>
      <c r="AB281">
        <f t="shared" si="50"/>
        <v>3.7809745984873779E-4</v>
      </c>
      <c r="AC281">
        <f t="shared" si="51"/>
        <v>-7.5252330409352605E-5</v>
      </c>
      <c r="AD281">
        <f t="shared" si="52"/>
        <v>-8.2680038662333861E-5</v>
      </c>
      <c r="AE281">
        <f t="shared" si="53"/>
        <v>2.7011102788553971E-4</v>
      </c>
      <c r="AF281">
        <f t="shared" si="54"/>
        <v>2.8240908390705986E-4</v>
      </c>
      <c r="AG281">
        <f t="shared" si="59"/>
        <v>0</v>
      </c>
    </row>
    <row r="282" spans="1:33" x14ac:dyDescent="0.3">
      <c r="A282" s="17">
        <v>45688</v>
      </c>
      <c r="B282">
        <v>98.65</v>
      </c>
      <c r="C282">
        <v>98.05</v>
      </c>
      <c r="D282">
        <v>109.55</v>
      </c>
      <c r="E282">
        <v>108.65</v>
      </c>
      <c r="F282">
        <v>100.6</v>
      </c>
      <c r="G282">
        <v>99.7</v>
      </c>
      <c r="H282">
        <v>98.3</v>
      </c>
      <c r="I282">
        <v>97.4</v>
      </c>
      <c r="K282">
        <f t="shared" si="55"/>
        <v>-5.0981392896213575E-4</v>
      </c>
      <c r="L282">
        <f t="shared" si="56"/>
        <v>4.6029920260360751E-4</v>
      </c>
      <c r="M282">
        <f t="shared" si="57"/>
        <v>0</v>
      </c>
      <c r="N282">
        <f t="shared" si="58"/>
        <v>0</v>
      </c>
      <c r="AB282">
        <f t="shared" si="50"/>
        <v>-1.599973968849138E-3</v>
      </c>
      <c r="AC282">
        <f t="shared" si="51"/>
        <v>1.504663156805238E-4</v>
      </c>
      <c r="AD282">
        <f t="shared" si="52"/>
        <v>1.0171971338004994E-3</v>
      </c>
      <c r="AE282">
        <f t="shared" si="53"/>
        <v>-1.0811909050675533E-3</v>
      </c>
      <c r="AF282">
        <f t="shared" si="54"/>
        <v>-7.3746714631170592E-4</v>
      </c>
      <c r="AG282">
        <f t="shared" si="59"/>
        <v>7.8118667741901093E-5</v>
      </c>
    </row>
    <row r="283" spans="1:33" x14ac:dyDescent="0.3">
      <c r="A283" s="17">
        <v>45691</v>
      </c>
      <c r="B283">
        <v>98.75</v>
      </c>
      <c r="C283">
        <v>98.15</v>
      </c>
      <c r="D283">
        <v>109.35</v>
      </c>
      <c r="E283">
        <v>108.45</v>
      </c>
      <c r="F283">
        <v>100.6</v>
      </c>
      <c r="G283">
        <v>99.7</v>
      </c>
      <c r="H283">
        <v>98.4</v>
      </c>
      <c r="I283">
        <v>97.5</v>
      </c>
      <c r="K283">
        <f t="shared" si="55"/>
        <v>1.0193680801147801E-3</v>
      </c>
      <c r="L283">
        <f t="shared" si="56"/>
        <v>-1.8424694295553054E-3</v>
      </c>
      <c r="M283">
        <f t="shared" si="57"/>
        <v>0</v>
      </c>
      <c r="N283">
        <f t="shared" si="58"/>
        <v>1.0167769050870329E-3</v>
      </c>
      <c r="AB283">
        <f t="shared" si="50"/>
        <v>-1.2959602134825099E-4</v>
      </c>
      <c r="AC283">
        <f t="shared" si="51"/>
        <v>2.0161452891986995E-4</v>
      </c>
      <c r="AD283">
        <f t="shared" si="52"/>
        <v>-1.099919345399381E-3</v>
      </c>
      <c r="AE283">
        <f t="shared" si="53"/>
        <v>2.0716159986723263E-4</v>
      </c>
      <c r="AF283">
        <f t="shared" si="54"/>
        <v>-3.92949984077178E-4</v>
      </c>
      <c r="AG283">
        <f t="shared" si="59"/>
        <v>3.8473934992359671E-4</v>
      </c>
    </row>
    <row r="284" spans="1:33" x14ac:dyDescent="0.3">
      <c r="A284" s="17">
        <v>45692</v>
      </c>
      <c r="B284">
        <v>98.6</v>
      </c>
      <c r="C284">
        <v>98</v>
      </c>
      <c r="D284">
        <v>109.35</v>
      </c>
      <c r="E284">
        <v>108.45</v>
      </c>
      <c r="F284">
        <v>100.65</v>
      </c>
      <c r="G284">
        <v>99.75</v>
      </c>
      <c r="H284">
        <v>98.3</v>
      </c>
      <c r="I284">
        <v>97.35</v>
      </c>
      <c r="K284">
        <f t="shared" si="55"/>
        <v>-1.5294420518981596E-3</v>
      </c>
      <c r="L284">
        <f t="shared" si="56"/>
        <v>0</v>
      </c>
      <c r="M284">
        <f t="shared" si="57"/>
        <v>5.0137880218015447E-4</v>
      </c>
      <c r="N284">
        <f t="shared" si="58"/>
        <v>-1.0167769050869464E-3</v>
      </c>
      <c r="AB284">
        <f t="shared" si="50"/>
        <v>5.4379501998021692E-3</v>
      </c>
      <c r="AC284">
        <f t="shared" si="51"/>
        <v>5.3632370036257289E-3</v>
      </c>
      <c r="AD284">
        <f t="shared" si="52"/>
        <v>4.9937458330906728E-3</v>
      </c>
      <c r="AE284">
        <f t="shared" si="53"/>
        <v>5.5095634720249351E-3</v>
      </c>
      <c r="AF284">
        <f t="shared" si="54"/>
        <v>5.3457888776524236E-3</v>
      </c>
      <c r="AG284">
        <f t="shared" si="59"/>
        <v>5.4659818416014899E-3</v>
      </c>
    </row>
    <row r="285" spans="1:33" x14ac:dyDescent="0.3">
      <c r="A285" s="17">
        <v>45693</v>
      </c>
      <c r="B285">
        <v>99.05</v>
      </c>
      <c r="C285">
        <v>98.45</v>
      </c>
      <c r="D285">
        <v>109.95</v>
      </c>
      <c r="E285">
        <v>109.05</v>
      </c>
      <c r="F285">
        <v>101.2</v>
      </c>
      <c r="G285">
        <v>100.3</v>
      </c>
      <c r="H285">
        <v>98.8</v>
      </c>
      <c r="I285">
        <v>97.85</v>
      </c>
      <c r="K285">
        <f t="shared" si="55"/>
        <v>4.5813264145627376E-3</v>
      </c>
      <c r="L285">
        <f t="shared" si="56"/>
        <v>5.5172553747546592E-3</v>
      </c>
      <c r="M285">
        <f t="shared" si="57"/>
        <v>5.4986391979169316E-3</v>
      </c>
      <c r="N285">
        <f t="shared" si="58"/>
        <v>5.0735776007011834E-3</v>
      </c>
      <c r="AB285">
        <f t="shared" si="50"/>
        <v>7.1924858830662167E-3</v>
      </c>
      <c r="AC285">
        <f t="shared" si="51"/>
        <v>2.271819430493554E-3</v>
      </c>
      <c r="AD285">
        <f t="shared" si="52"/>
        <v>1.6464660533303208E-4</v>
      </c>
      <c r="AE285">
        <f t="shared" si="53"/>
        <v>5.5848458924481446E-3</v>
      </c>
      <c r="AF285">
        <f t="shared" si="54"/>
        <v>4.7637020806740541E-3</v>
      </c>
      <c r="AG285">
        <f t="shared" si="59"/>
        <v>2.2981597551710998E-3</v>
      </c>
    </row>
    <row r="286" spans="1:33" x14ac:dyDescent="0.3">
      <c r="A286" s="17">
        <v>45694</v>
      </c>
      <c r="B286">
        <v>99.15</v>
      </c>
      <c r="C286">
        <v>98.55</v>
      </c>
      <c r="D286">
        <v>110.8</v>
      </c>
      <c r="E286">
        <v>109.9</v>
      </c>
      <c r="F286">
        <v>101.45</v>
      </c>
      <c r="G286">
        <v>100.55</v>
      </c>
      <c r="H286">
        <v>98.8</v>
      </c>
      <c r="I286">
        <v>97.85</v>
      </c>
      <c r="K286">
        <f t="shared" si="55"/>
        <v>1.015228513594672E-3</v>
      </c>
      <c r="L286">
        <f t="shared" si="56"/>
        <v>7.764368761937682E-3</v>
      </c>
      <c r="M286">
        <f t="shared" si="57"/>
        <v>2.4894212507712388E-3</v>
      </c>
      <c r="N286">
        <f t="shared" si="58"/>
        <v>0</v>
      </c>
      <c r="AB286">
        <f t="shared" si="50"/>
        <v>-2.9195106664943191E-3</v>
      </c>
      <c r="AC286">
        <f t="shared" si="51"/>
        <v>1.6937761302974106E-3</v>
      </c>
      <c r="AD286">
        <f t="shared" si="52"/>
        <v>0</v>
      </c>
      <c r="AE286">
        <f t="shared" si="53"/>
        <v>-1.0507924155752795E-3</v>
      </c>
      <c r="AF286">
        <f t="shared" si="54"/>
        <v>-1.9570470308460128E-3</v>
      </c>
      <c r="AG286">
        <f t="shared" si="59"/>
        <v>1.83441748764405E-3</v>
      </c>
    </row>
    <row r="287" spans="1:33" x14ac:dyDescent="0.3">
      <c r="A287" s="17">
        <v>45695</v>
      </c>
      <c r="B287">
        <v>99.15</v>
      </c>
      <c r="C287">
        <v>98.55</v>
      </c>
      <c r="D287">
        <v>110.45</v>
      </c>
      <c r="E287">
        <v>109.55</v>
      </c>
      <c r="F287">
        <v>101.65</v>
      </c>
      <c r="G287">
        <v>100.75</v>
      </c>
      <c r="H287">
        <v>98.8</v>
      </c>
      <c r="I287">
        <v>97.85</v>
      </c>
      <c r="K287">
        <f t="shared" si="55"/>
        <v>0</v>
      </c>
      <c r="L287">
        <f t="shared" si="56"/>
        <v>-3.1897953681002608E-3</v>
      </c>
      <c r="M287">
        <f t="shared" si="57"/>
        <v>1.9870846081313847E-3</v>
      </c>
      <c r="N287">
        <f t="shared" si="58"/>
        <v>0</v>
      </c>
      <c r="AB287">
        <f t="shared" si="50"/>
        <v>1.7553692709584056E-3</v>
      </c>
      <c r="AC287">
        <f t="shared" si="51"/>
        <v>3.1057369305221316E-3</v>
      </c>
      <c r="AD287">
        <f t="shared" si="52"/>
        <v>2.7046223681167583E-3</v>
      </c>
      <c r="AE287">
        <f t="shared" si="53"/>
        <v>2.5032349986406797E-3</v>
      </c>
      <c r="AF287">
        <f t="shared" si="54"/>
        <v>2.290779463607011E-3</v>
      </c>
      <c r="AG287">
        <f t="shared" si="59"/>
        <v>3.4344206406223105E-3</v>
      </c>
    </row>
    <row r="288" spans="1:33" x14ac:dyDescent="0.3">
      <c r="A288" s="17">
        <v>45698</v>
      </c>
      <c r="B288">
        <v>99.25</v>
      </c>
      <c r="C288">
        <v>98.65</v>
      </c>
      <c r="D288">
        <v>110.65</v>
      </c>
      <c r="E288">
        <v>109.75</v>
      </c>
      <c r="F288">
        <v>102</v>
      </c>
      <c r="G288">
        <v>101.1</v>
      </c>
      <c r="H288">
        <v>99.1</v>
      </c>
      <c r="I288">
        <v>98.15</v>
      </c>
      <c r="K288">
        <f t="shared" si="55"/>
        <v>1.0141988698952537E-3</v>
      </c>
      <c r="L288">
        <f t="shared" si="56"/>
        <v>1.8239859138052899E-3</v>
      </c>
      <c r="M288">
        <f t="shared" si="57"/>
        <v>3.4679251996333352E-3</v>
      </c>
      <c r="N288">
        <f t="shared" si="58"/>
        <v>3.0318365821201758E-3</v>
      </c>
      <c r="AB288">
        <f t="shared" si="50"/>
        <v>8.3357548374972683E-4</v>
      </c>
      <c r="AC288">
        <f t="shared" si="51"/>
        <v>-2.533114961125388E-3</v>
      </c>
      <c r="AD288">
        <f t="shared" si="52"/>
        <v>-1.6925725103461792E-3</v>
      </c>
      <c r="AE288">
        <f t="shared" si="53"/>
        <v>-6.934463704225518E-4</v>
      </c>
      <c r="AF288">
        <f t="shared" si="54"/>
        <v>-2.2196629512918388E-4</v>
      </c>
      <c r="AG288">
        <f t="shared" si="59"/>
        <v>-2.8986617266741556E-3</v>
      </c>
    </row>
    <row r="289" spans="1:33" x14ac:dyDescent="0.3">
      <c r="A289" s="17">
        <v>45699</v>
      </c>
      <c r="B289">
        <v>99.25</v>
      </c>
      <c r="C289">
        <v>98.65</v>
      </c>
      <c r="D289">
        <v>110.8</v>
      </c>
      <c r="E289">
        <v>109.85</v>
      </c>
      <c r="F289">
        <v>101.7</v>
      </c>
      <c r="G289">
        <v>100.8</v>
      </c>
      <c r="H289">
        <v>98.9</v>
      </c>
      <c r="I289">
        <v>97.95</v>
      </c>
      <c r="K289">
        <f t="shared" si="55"/>
        <v>0</v>
      </c>
      <c r="L289">
        <f t="shared" si="56"/>
        <v>9.1074687533839393E-4</v>
      </c>
      <c r="M289">
        <f t="shared" si="57"/>
        <v>-2.9717703891574817E-3</v>
      </c>
      <c r="N289">
        <f t="shared" si="58"/>
        <v>-2.0202027072757684E-3</v>
      </c>
      <c r="AB289">
        <f t="shared" si="50"/>
        <v>2.1235593447310889E-3</v>
      </c>
      <c r="AC289">
        <f t="shared" si="51"/>
        <v>7.4794753513637393E-5</v>
      </c>
      <c r="AD289">
        <f t="shared" si="52"/>
        <v>8.2177297083130594E-5</v>
      </c>
      <c r="AE289">
        <f t="shared" si="53"/>
        <v>1.3339769275403212E-3</v>
      </c>
      <c r="AF289">
        <f t="shared" si="54"/>
        <v>1.3947124077416627E-3</v>
      </c>
      <c r="AG289">
        <f t="shared" si="59"/>
        <v>0</v>
      </c>
    </row>
    <row r="290" spans="1:33" x14ac:dyDescent="0.3">
      <c r="A290" s="17">
        <v>45700</v>
      </c>
      <c r="B290">
        <v>99.3</v>
      </c>
      <c r="C290">
        <v>98.7</v>
      </c>
      <c r="D290">
        <v>111.05</v>
      </c>
      <c r="E290">
        <v>110.1</v>
      </c>
      <c r="F290">
        <v>101.7</v>
      </c>
      <c r="G290">
        <v>100.8</v>
      </c>
      <c r="H290">
        <v>98.9</v>
      </c>
      <c r="I290">
        <v>97.95</v>
      </c>
      <c r="K290">
        <f t="shared" si="55"/>
        <v>5.0671397081149922E-4</v>
      </c>
      <c r="L290">
        <f t="shared" si="56"/>
        <v>2.27324489801511E-3</v>
      </c>
      <c r="M290">
        <f t="shared" si="57"/>
        <v>0</v>
      </c>
      <c r="N290">
        <f t="shared" si="58"/>
        <v>0</v>
      </c>
      <c r="AB290">
        <f t="shared" si="50"/>
        <v>-2.95713482848085E-3</v>
      </c>
      <c r="AC290">
        <f t="shared" si="51"/>
        <v>-4.9771342113220192E-4</v>
      </c>
      <c r="AD290">
        <f t="shared" si="52"/>
        <v>-9.2974753393602536E-4</v>
      </c>
      <c r="AE290">
        <f t="shared" si="53"/>
        <v>-2.0734210771238535E-3</v>
      </c>
      <c r="AF290">
        <f t="shared" si="54"/>
        <v>-2.3444487060804747E-3</v>
      </c>
      <c r="AG290">
        <f t="shared" si="59"/>
        <v>-5.3575891394817355E-4</v>
      </c>
    </row>
    <row r="291" spans="1:33" x14ac:dyDescent="0.3">
      <c r="A291" s="17">
        <v>45701</v>
      </c>
      <c r="B291">
        <v>99.25</v>
      </c>
      <c r="C291">
        <v>98.65</v>
      </c>
      <c r="D291">
        <v>110.7</v>
      </c>
      <c r="E291">
        <v>109.75</v>
      </c>
      <c r="F291">
        <v>101.65</v>
      </c>
      <c r="G291">
        <v>100.75</v>
      </c>
      <c r="H291">
        <v>98.8</v>
      </c>
      <c r="I291">
        <v>97.85</v>
      </c>
      <c r="K291">
        <f t="shared" si="55"/>
        <v>-5.0671397081152351E-4</v>
      </c>
      <c r="L291">
        <f t="shared" si="56"/>
        <v>-3.1839917733535394E-3</v>
      </c>
      <c r="M291">
        <f t="shared" si="57"/>
        <v>-4.9615481047587669E-4</v>
      </c>
      <c r="N291">
        <f t="shared" si="58"/>
        <v>-1.0116338748443737E-3</v>
      </c>
      <c r="AB291">
        <f t="shared" si="50"/>
        <v>2.4984523737205618E-3</v>
      </c>
      <c r="AC291">
        <f t="shared" si="51"/>
        <v>3.798735187345898E-3</v>
      </c>
      <c r="AD291">
        <f t="shared" si="52"/>
        <v>2.5401427471990982E-3</v>
      </c>
      <c r="AE291">
        <f t="shared" si="53"/>
        <v>3.4432418108433392E-3</v>
      </c>
      <c r="AF291">
        <f t="shared" si="54"/>
        <v>2.846499968183972E-3</v>
      </c>
      <c r="AG291">
        <f t="shared" si="59"/>
        <v>4.3470952546475483E-3</v>
      </c>
    </row>
    <row r="292" spans="1:33" x14ac:dyDescent="0.3">
      <c r="A292" s="17">
        <v>45702</v>
      </c>
      <c r="B292">
        <v>99.25</v>
      </c>
      <c r="C292">
        <v>98.65</v>
      </c>
      <c r="D292">
        <v>111</v>
      </c>
      <c r="E292">
        <v>110.05</v>
      </c>
      <c r="F292">
        <v>102.15</v>
      </c>
      <c r="G292">
        <v>101.2</v>
      </c>
      <c r="H292">
        <v>99.1</v>
      </c>
      <c r="I292">
        <v>98.15</v>
      </c>
      <c r="K292">
        <f t="shared" si="55"/>
        <v>0</v>
      </c>
      <c r="L292">
        <f t="shared" si="56"/>
        <v>2.7297560171898956E-3</v>
      </c>
      <c r="M292">
        <f t="shared" si="57"/>
        <v>4.4565560265728268E-3</v>
      </c>
      <c r="N292">
        <f t="shared" si="58"/>
        <v>3.0318365821201758E-3</v>
      </c>
      <c r="AB292">
        <f t="shared" si="50"/>
        <v>0</v>
      </c>
      <c r="AC292">
        <f t="shared" si="51"/>
        <v>0</v>
      </c>
      <c r="AD292">
        <f t="shared" si="52"/>
        <v>0</v>
      </c>
      <c r="AE292">
        <f t="shared" si="53"/>
        <v>0</v>
      </c>
      <c r="AF292">
        <f t="shared" si="54"/>
        <v>0</v>
      </c>
      <c r="AG292">
        <f t="shared" si="59"/>
        <v>0</v>
      </c>
    </row>
    <row r="293" spans="1:33" x14ac:dyDescent="0.3">
      <c r="A293" s="17">
        <v>45705</v>
      </c>
      <c r="B293">
        <v>99.25</v>
      </c>
      <c r="C293">
        <v>98.65</v>
      </c>
      <c r="D293">
        <v>111</v>
      </c>
      <c r="E293">
        <v>110.05</v>
      </c>
      <c r="F293">
        <v>102.15</v>
      </c>
      <c r="G293">
        <v>101.2</v>
      </c>
      <c r="H293">
        <v>99.1</v>
      </c>
      <c r="I293">
        <v>98.15</v>
      </c>
      <c r="K293">
        <f t="shared" si="55"/>
        <v>0</v>
      </c>
      <c r="L293">
        <f t="shared" si="56"/>
        <v>0</v>
      </c>
      <c r="M293">
        <f t="shared" si="57"/>
        <v>0</v>
      </c>
      <c r="N293">
        <f t="shared" si="58"/>
        <v>0</v>
      </c>
      <c r="AB293">
        <f t="shared" si="50"/>
        <v>2.7061135077040485E-3</v>
      </c>
      <c r="AC293">
        <f t="shared" si="51"/>
        <v>3.736095001918684E-3</v>
      </c>
      <c r="AD293">
        <f t="shared" si="52"/>
        <v>-1.2351958962050573E-5</v>
      </c>
      <c r="AE293">
        <f t="shared" si="53"/>
        <v>3.2274227406122501E-3</v>
      </c>
      <c r="AF293">
        <f t="shared" si="54"/>
        <v>1.4752007930193688E-3</v>
      </c>
      <c r="AG293">
        <f t="shared" si="59"/>
        <v>3.602928638791858E-3</v>
      </c>
    </row>
    <row r="294" spans="1:33" x14ac:dyDescent="0.3">
      <c r="A294" s="17">
        <v>45706</v>
      </c>
      <c r="B294">
        <v>99.5</v>
      </c>
      <c r="C294">
        <v>98.9</v>
      </c>
      <c r="D294">
        <v>111.3</v>
      </c>
      <c r="E294">
        <v>110.35</v>
      </c>
      <c r="F294">
        <v>102.5</v>
      </c>
      <c r="G294">
        <v>101.6</v>
      </c>
      <c r="H294">
        <v>99.05</v>
      </c>
      <c r="I294">
        <v>98.1</v>
      </c>
      <c r="K294">
        <f t="shared" si="55"/>
        <v>2.5310061600420626E-3</v>
      </c>
      <c r="L294">
        <f t="shared" si="56"/>
        <v>2.7223247302746649E-3</v>
      </c>
      <c r="M294">
        <f t="shared" si="57"/>
        <v>3.9447782910163251E-3</v>
      </c>
      <c r="N294">
        <f t="shared" si="58"/>
        <v>-5.046681913823427E-4</v>
      </c>
      <c r="AB294">
        <f t="shared" si="50"/>
        <v>-6.1587550877147319E-4</v>
      </c>
      <c r="AC294">
        <f t="shared" si="51"/>
        <v>-4.6935617795515277E-5</v>
      </c>
      <c r="AD294">
        <f t="shared" si="52"/>
        <v>-1.2839933456160828E-3</v>
      </c>
      <c r="AE294">
        <f t="shared" si="53"/>
        <v>-7.3540688393586621E-4</v>
      </c>
      <c r="AF294">
        <f t="shared" si="54"/>
        <v>-1.3373756781992819E-3</v>
      </c>
      <c r="AG294">
        <f t="shared" si="59"/>
        <v>-6.097179216186042E-4</v>
      </c>
    </row>
    <row r="295" spans="1:33" x14ac:dyDescent="0.3">
      <c r="A295" s="17">
        <v>45707</v>
      </c>
      <c r="B295">
        <v>99.75</v>
      </c>
      <c r="C295">
        <v>99.15</v>
      </c>
      <c r="D295">
        <v>111.2</v>
      </c>
      <c r="E295">
        <v>110.25</v>
      </c>
      <c r="F295">
        <v>102.45</v>
      </c>
      <c r="G295">
        <v>101.55</v>
      </c>
      <c r="H295">
        <v>98.85</v>
      </c>
      <c r="I295">
        <v>97.9</v>
      </c>
      <c r="K295">
        <f t="shared" si="55"/>
        <v>2.5246163371384616E-3</v>
      </c>
      <c r="L295">
        <f t="shared" si="56"/>
        <v>-9.066183757899767E-4</v>
      </c>
      <c r="M295">
        <f t="shared" si="57"/>
        <v>-4.9224711798782526E-4</v>
      </c>
      <c r="N295">
        <f t="shared" si="58"/>
        <v>-2.0212235279340016E-3</v>
      </c>
      <c r="AB295">
        <f t="shared" si="50"/>
        <v>-2.5794175761450727E-3</v>
      </c>
      <c r="AC295">
        <f t="shared" si="51"/>
        <v>-9.8874367799931212E-4</v>
      </c>
      <c r="AD295">
        <f t="shared" si="52"/>
        <v>-5.8754205113686593E-4</v>
      </c>
      <c r="AE295">
        <f t="shared" si="53"/>
        <v>-2.006032877152307E-3</v>
      </c>
      <c r="AF295">
        <f t="shared" si="54"/>
        <v>-1.8672856775695764E-3</v>
      </c>
      <c r="AG295">
        <f t="shared" si="59"/>
        <v>-9.4839905327042968E-4</v>
      </c>
    </row>
    <row r="296" spans="1:33" x14ac:dyDescent="0.3">
      <c r="A296" s="17">
        <v>45708</v>
      </c>
      <c r="B296">
        <v>99.65</v>
      </c>
      <c r="C296">
        <v>99.05</v>
      </c>
      <c r="D296">
        <v>110.9</v>
      </c>
      <c r="E296">
        <v>109.95</v>
      </c>
      <c r="F296">
        <v>102.35</v>
      </c>
      <c r="G296">
        <v>101.45</v>
      </c>
      <c r="H296">
        <v>98.8</v>
      </c>
      <c r="I296">
        <v>97.85</v>
      </c>
      <c r="K296">
        <f t="shared" si="55"/>
        <v>-1.0090818212451684E-3</v>
      </c>
      <c r="L296">
        <f t="shared" si="56"/>
        <v>-2.7247973261851424E-3</v>
      </c>
      <c r="M296">
        <f t="shared" si="57"/>
        <v>-9.8522175456993658E-4</v>
      </c>
      <c r="N296">
        <f t="shared" si="58"/>
        <v>-5.0594486280371165E-4</v>
      </c>
      <c r="AB296">
        <f t="shared" si="50"/>
        <v>3.8238308445159028E-3</v>
      </c>
      <c r="AC296">
        <f t="shared" si="51"/>
        <v>-6.9167590438839414E-4</v>
      </c>
      <c r="AD296">
        <f t="shared" si="52"/>
        <v>2.7037925010688158E-3</v>
      </c>
      <c r="AE296">
        <f t="shared" si="53"/>
        <v>1.989322833283375E-3</v>
      </c>
      <c r="AF296">
        <f t="shared" si="54"/>
        <v>3.6776300688640693E-3</v>
      </c>
      <c r="AG296">
        <f t="shared" si="59"/>
        <v>-6.7748932523309456E-4</v>
      </c>
    </row>
    <row r="297" spans="1:33" x14ac:dyDescent="0.3">
      <c r="A297" s="17">
        <v>45709</v>
      </c>
      <c r="B297">
        <v>99.75</v>
      </c>
      <c r="C297">
        <v>99.15</v>
      </c>
      <c r="D297">
        <v>111.35</v>
      </c>
      <c r="E297">
        <v>110.4</v>
      </c>
      <c r="F297">
        <v>102.25</v>
      </c>
      <c r="G297">
        <v>101.35</v>
      </c>
      <c r="H297">
        <v>99.1</v>
      </c>
      <c r="I297">
        <v>98.15</v>
      </c>
      <c r="K297">
        <f t="shared" si="55"/>
        <v>1.0090818212451498E-3</v>
      </c>
      <c r="L297">
        <f t="shared" si="56"/>
        <v>4.0844168422248554E-3</v>
      </c>
      <c r="M297">
        <f t="shared" si="57"/>
        <v>-9.8619337381474284E-4</v>
      </c>
      <c r="N297">
        <f t="shared" si="58"/>
        <v>3.0318365821201758E-3</v>
      </c>
      <c r="AB297">
        <f t="shared" si="50"/>
        <v>-9.1492454793023006E-4</v>
      </c>
      <c r="AC297">
        <f t="shared" si="51"/>
        <v>-1.4894798731176389E-4</v>
      </c>
      <c r="AD297">
        <f t="shared" si="52"/>
        <v>-1.6364975386972072E-4</v>
      </c>
      <c r="AE297">
        <f t="shared" si="53"/>
        <v>-5.3177728851720209E-4</v>
      </c>
      <c r="AF297">
        <f t="shared" si="54"/>
        <v>-5.5598891340475731E-4</v>
      </c>
      <c r="AG297">
        <f t="shared" si="59"/>
        <v>0</v>
      </c>
    </row>
    <row r="298" spans="1:33" x14ac:dyDescent="0.3">
      <c r="A298" s="17">
        <v>45712</v>
      </c>
      <c r="B298">
        <v>99.65</v>
      </c>
      <c r="C298">
        <v>99.05</v>
      </c>
      <c r="D298">
        <v>111.2</v>
      </c>
      <c r="E298">
        <v>110.3</v>
      </c>
      <c r="F298">
        <v>102.25</v>
      </c>
      <c r="G298">
        <v>101.35</v>
      </c>
      <c r="H298">
        <v>99.1</v>
      </c>
      <c r="I298">
        <v>98.15</v>
      </c>
      <c r="K298">
        <f t="shared" si="55"/>
        <v>-1.0090818212451684E-3</v>
      </c>
      <c r="L298">
        <f t="shared" si="56"/>
        <v>-9.0620758353820888E-4</v>
      </c>
      <c r="M298">
        <f t="shared" si="57"/>
        <v>0</v>
      </c>
      <c r="N298">
        <f t="shared" si="58"/>
        <v>0</v>
      </c>
      <c r="AB298">
        <f t="shared" si="50"/>
        <v>-8.3017313436901409E-4</v>
      </c>
      <c r="AC298">
        <f t="shared" si="51"/>
        <v>-4.2062303202363837E-4</v>
      </c>
      <c r="AD298">
        <f t="shared" si="52"/>
        <v>-1.6925725103461792E-3</v>
      </c>
      <c r="AE298">
        <f t="shared" si="53"/>
        <v>-7.3614998434725753E-4</v>
      </c>
      <c r="AF298">
        <f t="shared" si="54"/>
        <v>-1.3372334289441837E-3</v>
      </c>
      <c r="AG298">
        <f t="shared" si="59"/>
        <v>-6.107607060294039E-4</v>
      </c>
    </row>
    <row r="299" spans="1:33" x14ac:dyDescent="0.3">
      <c r="A299" s="17">
        <v>45713</v>
      </c>
      <c r="B299">
        <v>99.65</v>
      </c>
      <c r="C299">
        <v>99.05</v>
      </c>
      <c r="D299">
        <v>111.1</v>
      </c>
      <c r="E299">
        <v>110.2</v>
      </c>
      <c r="F299">
        <v>102.2</v>
      </c>
      <c r="G299">
        <v>101.3</v>
      </c>
      <c r="H299">
        <v>98.9</v>
      </c>
      <c r="I299">
        <v>98</v>
      </c>
      <c r="K299">
        <f t="shared" si="55"/>
        <v>0</v>
      </c>
      <c r="L299">
        <f t="shared" si="56"/>
        <v>-9.0702954064261494E-4</v>
      </c>
      <c r="M299">
        <f t="shared" si="57"/>
        <v>-4.9346164337135017E-4</v>
      </c>
      <c r="N299">
        <f t="shared" si="58"/>
        <v>-2.0202027072757684E-3</v>
      </c>
      <c r="AB299">
        <f t="shared" si="50"/>
        <v>-7.2583068705776507E-3</v>
      </c>
      <c r="AC299">
        <f t="shared" si="51"/>
        <v>-3.6708250609333577E-3</v>
      </c>
      <c r="AD299">
        <f t="shared" si="52"/>
        <v>2.2097824872746299E-3</v>
      </c>
      <c r="AE299">
        <f t="shared" si="53"/>
        <v>-6.1785606637514033E-3</v>
      </c>
      <c r="AF299">
        <f t="shared" si="54"/>
        <v>-3.5801637556700954E-3</v>
      </c>
      <c r="AG299">
        <f t="shared" si="59"/>
        <v>-3.4198084771803455E-3</v>
      </c>
    </row>
    <row r="300" spans="1:33" x14ac:dyDescent="0.3">
      <c r="A300" s="17">
        <v>45714</v>
      </c>
      <c r="B300">
        <v>99.45</v>
      </c>
      <c r="C300">
        <v>98.85</v>
      </c>
      <c r="D300">
        <v>110.3</v>
      </c>
      <c r="E300">
        <v>109.35</v>
      </c>
      <c r="F300">
        <v>101.8</v>
      </c>
      <c r="G300">
        <v>100.9</v>
      </c>
      <c r="H300">
        <v>99.2</v>
      </c>
      <c r="I300">
        <v>98.25</v>
      </c>
      <c r="K300">
        <f t="shared" si="55"/>
        <v>-2.0212235279340016E-3</v>
      </c>
      <c r="L300">
        <f t="shared" si="56"/>
        <v>-7.7431495960373908E-3</v>
      </c>
      <c r="M300">
        <f t="shared" si="57"/>
        <v>-3.956483895074369E-3</v>
      </c>
      <c r="N300">
        <f t="shared" si="58"/>
        <v>3.0287756621605686E-3</v>
      </c>
      <c r="AB300">
        <f t="shared" si="50"/>
        <v>1.2858620316167401E-3</v>
      </c>
      <c r="AC300">
        <f t="shared" si="51"/>
        <v>-6.7349520448544537E-4</v>
      </c>
      <c r="AD300">
        <f t="shared" si="52"/>
        <v>-1.1623682275813734E-3</v>
      </c>
      <c r="AE300">
        <f t="shared" si="53"/>
        <v>1.0723003398932023E-3</v>
      </c>
      <c r="AF300">
        <f t="shared" si="54"/>
        <v>9.2628120416879303E-4</v>
      </c>
      <c r="AG300">
        <f t="shared" si="59"/>
        <v>-3.8734411259087588E-5</v>
      </c>
    </row>
    <row r="301" spans="1:33" x14ac:dyDescent="0.3">
      <c r="A301" s="17">
        <v>45715</v>
      </c>
      <c r="B301">
        <v>99</v>
      </c>
      <c r="C301">
        <v>98.4</v>
      </c>
      <c r="D301">
        <v>110.5</v>
      </c>
      <c r="E301">
        <v>109.55</v>
      </c>
      <c r="F301">
        <v>101.8</v>
      </c>
      <c r="G301">
        <v>100.9</v>
      </c>
      <c r="H301">
        <v>99.15</v>
      </c>
      <c r="I301">
        <v>98.2</v>
      </c>
      <c r="K301">
        <f t="shared" si="55"/>
        <v>-4.5627455584180609E-3</v>
      </c>
      <c r="L301">
        <f t="shared" si="56"/>
        <v>1.8273189186987723E-3</v>
      </c>
      <c r="M301">
        <f t="shared" si="57"/>
        <v>0</v>
      </c>
      <c r="N301">
        <f t="shared" si="58"/>
        <v>-5.0415932502211091E-4</v>
      </c>
      <c r="AB301">
        <f t="shared" si="50"/>
        <v>-1.7586383041115863E-3</v>
      </c>
      <c r="AC301">
        <f t="shared" si="51"/>
        <v>-2.2646782181514765E-3</v>
      </c>
      <c r="AD301">
        <f t="shared" si="52"/>
        <v>-1.6489771865334937E-4</v>
      </c>
      <c r="AE301">
        <f t="shared" si="53"/>
        <v>-2.0973165001078784E-3</v>
      </c>
      <c r="AF301">
        <f t="shared" si="54"/>
        <v>-1.1211217810432131E-3</v>
      </c>
      <c r="AG301">
        <f t="shared" si="59"/>
        <v>-2.2901780460092523E-3</v>
      </c>
    </row>
    <row r="302" spans="1:33" x14ac:dyDescent="0.3">
      <c r="A302" s="17">
        <v>45716</v>
      </c>
      <c r="B302">
        <v>98.9</v>
      </c>
      <c r="C302">
        <v>98.3</v>
      </c>
      <c r="D302">
        <v>110.3</v>
      </c>
      <c r="E302">
        <v>109.35</v>
      </c>
      <c r="F302">
        <v>101.6</v>
      </c>
      <c r="G302">
        <v>100.65</v>
      </c>
      <c r="H302">
        <v>99.15</v>
      </c>
      <c r="I302">
        <v>98.2</v>
      </c>
      <c r="K302">
        <f t="shared" si="55"/>
        <v>-1.0167769050869464E-3</v>
      </c>
      <c r="L302">
        <f t="shared" si="56"/>
        <v>-1.827318918698658E-3</v>
      </c>
      <c r="M302">
        <f t="shared" si="57"/>
        <v>-2.4807752737627782E-3</v>
      </c>
      <c r="N302">
        <f t="shared" si="58"/>
        <v>0</v>
      </c>
      <c r="AB302">
        <f t="shared" si="50"/>
        <v>2.3483310111857992E-3</v>
      </c>
      <c r="AC302">
        <f t="shared" si="51"/>
        <v>8.731332366335951E-4</v>
      </c>
      <c r="AD302">
        <f t="shared" si="52"/>
        <v>4.94191014169166E-4</v>
      </c>
      <c r="AE302">
        <f t="shared" si="53"/>
        <v>1.5452763024356437E-3</v>
      </c>
      <c r="AF302">
        <f t="shared" si="54"/>
        <v>1.4010824174114835E-3</v>
      </c>
      <c r="AG302">
        <f t="shared" si="59"/>
        <v>4.5849034808562807E-4</v>
      </c>
    </row>
    <row r="303" spans="1:33" x14ac:dyDescent="0.3">
      <c r="A303" s="17">
        <v>45719</v>
      </c>
      <c r="B303">
        <v>99.2</v>
      </c>
      <c r="C303">
        <v>98.6</v>
      </c>
      <c r="D303">
        <v>110.55</v>
      </c>
      <c r="E303">
        <v>109.6</v>
      </c>
      <c r="F303">
        <v>101.6</v>
      </c>
      <c r="G303">
        <v>100.7</v>
      </c>
      <c r="H303">
        <v>99.15</v>
      </c>
      <c r="I303">
        <v>98.2</v>
      </c>
      <c r="K303">
        <f t="shared" si="55"/>
        <v>3.0472344554689059E-3</v>
      </c>
      <c r="L303">
        <f t="shared" si="56"/>
        <v>2.2836273911383152E-3</v>
      </c>
      <c r="M303">
        <f t="shared" si="57"/>
        <v>4.9664763871599884E-4</v>
      </c>
      <c r="N303">
        <f t="shared" si="58"/>
        <v>0</v>
      </c>
      <c r="AB303">
        <f t="shared" si="50"/>
        <v>1.2947461731620039E-3</v>
      </c>
      <c r="AC303">
        <f t="shared" si="51"/>
        <v>9.208799448092123E-4</v>
      </c>
      <c r="AD303">
        <f t="shared" si="52"/>
        <v>1.348769627107946E-3</v>
      </c>
      <c r="AE303">
        <f t="shared" si="53"/>
        <v>1.2126833018558697E-3</v>
      </c>
      <c r="AF303">
        <f t="shared" si="54"/>
        <v>1.4233435197018825E-3</v>
      </c>
      <c r="AG303">
        <f t="shared" si="59"/>
        <v>1.0324428346741815E-3</v>
      </c>
    </row>
    <row r="304" spans="1:33" x14ac:dyDescent="0.3">
      <c r="A304" s="17">
        <v>45720</v>
      </c>
      <c r="B304">
        <v>99.25</v>
      </c>
      <c r="C304">
        <v>98.65</v>
      </c>
      <c r="D304">
        <v>110.7</v>
      </c>
      <c r="E304">
        <v>109.75</v>
      </c>
      <c r="F304">
        <v>101.7</v>
      </c>
      <c r="G304">
        <v>100.8</v>
      </c>
      <c r="H304">
        <v>99.3</v>
      </c>
      <c r="I304">
        <v>98.35</v>
      </c>
      <c r="K304">
        <f t="shared" si="55"/>
        <v>5.069708600347481E-4</v>
      </c>
      <c r="L304">
        <f t="shared" si="56"/>
        <v>1.3676774413655215E-3</v>
      </c>
      <c r="M304">
        <f t="shared" si="57"/>
        <v>9.9255591275164293E-4</v>
      </c>
      <c r="N304">
        <f t="shared" si="58"/>
        <v>1.5117160853219392E-3</v>
      </c>
      <c r="AB304">
        <f t="shared" si="50"/>
        <v>-1.5835817167151268E-3</v>
      </c>
      <c r="AC304">
        <f t="shared" si="51"/>
        <v>-2.7336704094414098E-4</v>
      </c>
      <c r="AD304">
        <f t="shared" si="52"/>
        <v>1.6431297486993452E-4</v>
      </c>
      <c r="AE304">
        <f t="shared" si="53"/>
        <v>-1.2753476097463812E-3</v>
      </c>
      <c r="AF304">
        <f t="shared" si="54"/>
        <v>-1.1190768701389961E-3</v>
      </c>
      <c r="AG304">
        <f t="shared" si="59"/>
        <v>-4.5803538369287627E-4</v>
      </c>
    </row>
    <row r="305" spans="1:33" x14ac:dyDescent="0.3">
      <c r="A305" s="17">
        <v>45721</v>
      </c>
      <c r="B305">
        <v>99.35</v>
      </c>
      <c r="C305">
        <v>98.75</v>
      </c>
      <c r="D305">
        <v>110.5</v>
      </c>
      <c r="E305">
        <v>109.55</v>
      </c>
      <c r="F305">
        <v>101.65</v>
      </c>
      <c r="G305">
        <v>100.75</v>
      </c>
      <c r="H305">
        <v>99.3</v>
      </c>
      <c r="I305">
        <v>98.35</v>
      </c>
      <c r="K305">
        <f t="shared" si="55"/>
        <v>1.0131713126068026E-3</v>
      </c>
      <c r="L305">
        <f t="shared" si="56"/>
        <v>-1.8239859138052454E-3</v>
      </c>
      <c r="M305">
        <f t="shared" si="57"/>
        <v>-4.9615481047587669E-4</v>
      </c>
      <c r="N305">
        <f t="shared" si="58"/>
        <v>0</v>
      </c>
      <c r="AB305">
        <f t="shared" si="50"/>
        <v>4.2892525394454121E-5</v>
      </c>
      <c r="AC305">
        <f t="shared" si="51"/>
        <v>4.9763769877665849E-4</v>
      </c>
      <c r="AD305">
        <f t="shared" si="52"/>
        <v>-3.2996384731750592E-3</v>
      </c>
      <c r="AE305">
        <f t="shared" si="53"/>
        <v>2.0500313111179339E-4</v>
      </c>
      <c r="AF305">
        <f t="shared" si="54"/>
        <v>-1.5599063601866247E-3</v>
      </c>
      <c r="AG305">
        <f t="shared" si="59"/>
        <v>1.4792516204201401E-4</v>
      </c>
    </row>
    <row r="306" spans="1:33" x14ac:dyDescent="0.3">
      <c r="A306" s="17">
        <v>45722</v>
      </c>
      <c r="B306">
        <v>99.4</v>
      </c>
      <c r="C306">
        <v>98.8</v>
      </c>
      <c r="D306">
        <v>110.5</v>
      </c>
      <c r="E306">
        <v>109.55</v>
      </c>
      <c r="F306">
        <v>101.7</v>
      </c>
      <c r="G306">
        <v>100.8</v>
      </c>
      <c r="H306">
        <v>98.9</v>
      </c>
      <c r="I306">
        <v>97.95</v>
      </c>
      <c r="K306">
        <f t="shared" si="55"/>
        <v>5.062009725908393E-4</v>
      </c>
      <c r="L306">
        <f t="shared" si="56"/>
        <v>0</v>
      </c>
      <c r="M306">
        <f t="shared" si="57"/>
        <v>4.9615481047590531E-4</v>
      </c>
      <c r="N306">
        <f t="shared" si="58"/>
        <v>-4.0363324224603698E-3</v>
      </c>
      <c r="AB306">
        <f t="shared" si="50"/>
        <v>-4.1783420853154068E-4</v>
      </c>
      <c r="AC306">
        <f t="shared" si="51"/>
        <v>0</v>
      </c>
      <c r="AD306">
        <f t="shared" si="52"/>
        <v>1.2697498378967883E-3</v>
      </c>
      <c r="AE306">
        <f t="shared" si="53"/>
        <v>-2.6789144392227798E-4</v>
      </c>
      <c r="AF306">
        <f t="shared" si="54"/>
        <v>3.0561453747439946E-4</v>
      </c>
      <c r="AG306">
        <f t="shared" si="59"/>
        <v>1.1643806690153868E-4</v>
      </c>
    </row>
    <row r="307" spans="1:33" x14ac:dyDescent="0.3">
      <c r="A307" s="17">
        <v>45723</v>
      </c>
      <c r="B307">
        <v>99.4</v>
      </c>
      <c r="C307">
        <v>98.8</v>
      </c>
      <c r="D307">
        <v>110.45</v>
      </c>
      <c r="E307">
        <v>109.5</v>
      </c>
      <c r="F307">
        <v>101.7</v>
      </c>
      <c r="G307">
        <v>100.8</v>
      </c>
      <c r="H307">
        <v>99.05</v>
      </c>
      <c r="I307">
        <v>98.1</v>
      </c>
      <c r="K307">
        <f t="shared" si="55"/>
        <v>0</v>
      </c>
      <c r="L307">
        <f t="shared" si="56"/>
        <v>-4.5651678492003909E-4</v>
      </c>
      <c r="M307">
        <f t="shared" si="57"/>
        <v>0</v>
      </c>
      <c r="N307">
        <f t="shared" si="58"/>
        <v>1.5155345158934508E-3</v>
      </c>
      <c r="AB307">
        <f t="shared" si="50"/>
        <v>8.7834857991144941E-4</v>
      </c>
      <c r="AC307">
        <f t="shared" si="51"/>
        <v>7.4681227447298868E-5</v>
      </c>
      <c r="AD307">
        <f t="shared" si="52"/>
        <v>8.2052565536572589E-5</v>
      </c>
      <c r="AE307">
        <f t="shared" si="53"/>
        <v>5.3566064670687206E-4</v>
      </c>
      <c r="AF307">
        <f t="shared" si="54"/>
        <v>5.6004907946836718E-4</v>
      </c>
      <c r="AG307">
        <f t="shared" si="59"/>
        <v>0</v>
      </c>
    </row>
    <row r="308" spans="1:33" x14ac:dyDescent="0.3">
      <c r="A308" s="17">
        <v>45726</v>
      </c>
      <c r="B308">
        <v>99.45</v>
      </c>
      <c r="C308">
        <v>98.85</v>
      </c>
      <c r="D308">
        <v>110.55</v>
      </c>
      <c r="E308">
        <v>109.6</v>
      </c>
      <c r="F308">
        <v>101.7</v>
      </c>
      <c r="G308">
        <v>100.8</v>
      </c>
      <c r="H308">
        <v>99.05</v>
      </c>
      <c r="I308">
        <v>98.1</v>
      </c>
      <c r="K308">
        <f t="shared" si="55"/>
        <v>5.0594486280374949E-4</v>
      </c>
      <c r="L308">
        <f t="shared" si="56"/>
        <v>9.1282525735968166E-4</v>
      </c>
      <c r="M308">
        <f t="shared" si="57"/>
        <v>0</v>
      </c>
      <c r="N308">
        <f t="shared" si="58"/>
        <v>0</v>
      </c>
      <c r="AB308">
        <f t="shared" si="50"/>
        <v>-3.0991284138164902E-3</v>
      </c>
      <c r="AC308">
        <f t="shared" si="51"/>
        <v>-3.68819117000606E-3</v>
      </c>
      <c r="AD308">
        <f t="shared" si="52"/>
        <v>-2.0218874185148998E-3</v>
      </c>
      <c r="AE308">
        <f t="shared" si="53"/>
        <v>-3.5198355028175131E-3</v>
      </c>
      <c r="AF308">
        <f t="shared" si="54"/>
        <v>-2.7435472175279928E-3</v>
      </c>
      <c r="AG308">
        <f t="shared" si="59"/>
        <v>-3.8259520836901066E-3</v>
      </c>
    </row>
    <row r="309" spans="1:33" x14ac:dyDescent="0.3">
      <c r="A309" s="17">
        <v>45727</v>
      </c>
      <c r="B309">
        <v>99.25</v>
      </c>
      <c r="C309">
        <v>98.65</v>
      </c>
      <c r="D309">
        <v>110.2</v>
      </c>
      <c r="E309">
        <v>109.25</v>
      </c>
      <c r="F309">
        <v>101.3</v>
      </c>
      <c r="G309">
        <v>100.4</v>
      </c>
      <c r="H309">
        <v>98.85</v>
      </c>
      <c r="I309">
        <v>97.9</v>
      </c>
      <c r="K309">
        <f t="shared" si="55"/>
        <v>-2.0253171480014882E-3</v>
      </c>
      <c r="L309">
        <f t="shared" si="56"/>
        <v>-3.1985405382155469E-3</v>
      </c>
      <c r="M309">
        <f t="shared" si="57"/>
        <v>-3.9761483796392945E-3</v>
      </c>
      <c r="N309">
        <f t="shared" si="58"/>
        <v>-2.0212235279340016E-3</v>
      </c>
      <c r="AB309">
        <f t="shared" si="50"/>
        <v>-3.7604584813315315E-4</v>
      </c>
      <c r="AC309">
        <f t="shared" si="51"/>
        <v>2.1946480149634068E-3</v>
      </c>
      <c r="AD309">
        <f t="shared" si="52"/>
        <v>5.0585523666887486E-4</v>
      </c>
      <c r="AE309">
        <f t="shared" si="53"/>
        <v>7.5893807916230997E-4</v>
      </c>
      <c r="AF309">
        <f t="shared" si="54"/>
        <v>-8.5425991430403218E-5</v>
      </c>
      <c r="AG309">
        <f t="shared" si="59"/>
        <v>2.334725532043285E-3</v>
      </c>
    </row>
    <row r="310" spans="1:33" x14ac:dyDescent="0.3">
      <c r="A310" s="17">
        <v>45728</v>
      </c>
      <c r="B310">
        <v>99.3</v>
      </c>
      <c r="C310">
        <v>98.7</v>
      </c>
      <c r="D310">
        <v>110.15</v>
      </c>
      <c r="E310">
        <v>109.2</v>
      </c>
      <c r="F310">
        <v>101.55</v>
      </c>
      <c r="G310">
        <v>100.65</v>
      </c>
      <c r="H310">
        <v>98.9</v>
      </c>
      <c r="I310">
        <v>97.95</v>
      </c>
      <c r="K310">
        <f t="shared" si="55"/>
        <v>5.0671397081149922E-4</v>
      </c>
      <c r="L310">
        <f t="shared" si="56"/>
        <v>-4.5777066489488533E-4</v>
      </c>
      <c r="M310">
        <f t="shared" si="57"/>
        <v>2.4869448281717782E-3</v>
      </c>
      <c r="N310">
        <f t="shared" si="58"/>
        <v>5.0568901204066049E-4</v>
      </c>
      <c r="AB310">
        <f t="shared" si="50"/>
        <v>-9.6741282179636811E-4</v>
      </c>
      <c r="AC310">
        <f t="shared" si="51"/>
        <v>-2.3443513167414731E-3</v>
      </c>
      <c r="AD310">
        <f t="shared" si="52"/>
        <v>-1.0942271548536778E-3</v>
      </c>
      <c r="AE310">
        <f t="shared" si="53"/>
        <v>-1.565188992877112E-3</v>
      </c>
      <c r="AF310">
        <f t="shared" si="54"/>
        <v>-9.5306385766061948E-4</v>
      </c>
      <c r="AG310">
        <f t="shared" si="59"/>
        <v>-2.3735971256398716E-3</v>
      </c>
    </row>
    <row r="311" spans="1:33" x14ac:dyDescent="0.3">
      <c r="A311" s="17">
        <v>45729</v>
      </c>
      <c r="B311">
        <v>99.15</v>
      </c>
      <c r="C311">
        <v>98.55</v>
      </c>
      <c r="D311">
        <v>110.05</v>
      </c>
      <c r="E311">
        <v>109.1</v>
      </c>
      <c r="F311">
        <v>101.3</v>
      </c>
      <c r="G311">
        <v>100.4</v>
      </c>
      <c r="H311">
        <v>98.8</v>
      </c>
      <c r="I311">
        <v>97.85</v>
      </c>
      <c r="K311">
        <f t="shared" si="55"/>
        <v>-1.5209128407067314E-3</v>
      </c>
      <c r="L311">
        <f t="shared" si="56"/>
        <v>-9.1617047177964075E-4</v>
      </c>
      <c r="M311">
        <f t="shared" si="57"/>
        <v>-2.486944828171622E-3</v>
      </c>
      <c r="N311">
        <f t="shared" si="58"/>
        <v>-1.0116338748443737E-3</v>
      </c>
      <c r="AB311">
        <f t="shared" si="50"/>
        <v>7.9553815412913701E-4</v>
      </c>
      <c r="AC311">
        <f t="shared" si="51"/>
        <v>-9.2432828408832803E-4</v>
      </c>
      <c r="AD311">
        <f t="shared" si="52"/>
        <v>7.6526782842659916E-4</v>
      </c>
      <c r="AE311">
        <f t="shared" si="53"/>
        <v>1.2588093582048234E-4</v>
      </c>
      <c r="AF311">
        <f t="shared" si="54"/>
        <v>9.5306385766061211E-4</v>
      </c>
      <c r="AG311">
        <f t="shared" si="59"/>
        <v>-8.4222701612260106E-4</v>
      </c>
    </row>
    <row r="312" spans="1:33" x14ac:dyDescent="0.3">
      <c r="A312" s="17">
        <v>45730</v>
      </c>
      <c r="B312">
        <v>99.1</v>
      </c>
      <c r="C312">
        <v>98.5</v>
      </c>
      <c r="D312">
        <v>110.15</v>
      </c>
      <c r="E312">
        <v>109.2</v>
      </c>
      <c r="F312">
        <v>101.2</v>
      </c>
      <c r="G312">
        <v>100.3</v>
      </c>
      <c r="H312">
        <v>98.9</v>
      </c>
      <c r="I312">
        <v>97.95</v>
      </c>
      <c r="K312">
        <f t="shared" si="55"/>
        <v>-5.0748542068595689E-4</v>
      </c>
      <c r="L312">
        <f t="shared" si="56"/>
        <v>9.1617047177958209E-4</v>
      </c>
      <c r="M312">
        <f t="shared" si="57"/>
        <v>-9.9651228973908447E-4</v>
      </c>
      <c r="N312">
        <f t="shared" si="58"/>
        <v>1.0116338748444476E-3</v>
      </c>
      <c r="AB312">
        <f t="shared" si="50"/>
        <v>-1.5489093082635943E-3</v>
      </c>
      <c r="AC312">
        <f t="shared" si="51"/>
        <v>2.2461192703512555E-4</v>
      </c>
      <c r="AD312">
        <f t="shared" si="52"/>
        <v>-6.0078820750888735E-4</v>
      </c>
      <c r="AE312">
        <f t="shared" si="53"/>
        <v>-1.0757403520730905E-3</v>
      </c>
      <c r="AF312">
        <f t="shared" si="54"/>
        <v>-1.5156807920476533E-3</v>
      </c>
      <c r="AG312">
        <f t="shared" si="59"/>
        <v>-7.7723530255297313E-5</v>
      </c>
    </row>
    <row r="313" spans="1:33" x14ac:dyDescent="0.3">
      <c r="A313" s="17">
        <v>45733</v>
      </c>
      <c r="B313">
        <v>99.25</v>
      </c>
      <c r="C313">
        <v>98.65</v>
      </c>
      <c r="D313">
        <v>109.95</v>
      </c>
      <c r="E313">
        <v>109</v>
      </c>
      <c r="F313">
        <v>101.2</v>
      </c>
      <c r="G313">
        <v>100.3</v>
      </c>
      <c r="H313">
        <v>98.8</v>
      </c>
      <c r="I313">
        <v>97.9</v>
      </c>
      <c r="K313">
        <f t="shared" si="55"/>
        <v>1.5216842905811487E-3</v>
      </c>
      <c r="L313">
        <f t="shared" si="56"/>
        <v>-1.8331810816609605E-3</v>
      </c>
      <c r="M313">
        <f t="shared" si="57"/>
        <v>0</v>
      </c>
      <c r="N313">
        <f t="shared" si="58"/>
        <v>-1.0116338748443737E-3</v>
      </c>
      <c r="AB313">
        <f t="shared" si="50"/>
        <v>-4.1994303002942208E-4</v>
      </c>
      <c r="AC313">
        <f t="shared" si="51"/>
        <v>-2.5533495591037732E-3</v>
      </c>
      <c r="AD313">
        <f t="shared" si="52"/>
        <v>0</v>
      </c>
      <c r="AE313">
        <f t="shared" si="53"/>
        <v>-1.5069392899281805E-3</v>
      </c>
      <c r="AF313">
        <f t="shared" si="54"/>
        <v>-2.8150205768229475E-4</v>
      </c>
      <c r="AG313">
        <f t="shared" si="59"/>
        <v>-2.7653649142320462E-3</v>
      </c>
    </row>
    <row r="314" spans="1:33" x14ac:dyDescent="0.3">
      <c r="A314" s="17">
        <v>45734</v>
      </c>
      <c r="B314">
        <v>99.25</v>
      </c>
      <c r="C314">
        <v>98.65</v>
      </c>
      <c r="D314">
        <v>109.9</v>
      </c>
      <c r="E314">
        <v>108.95</v>
      </c>
      <c r="F314">
        <v>100.9</v>
      </c>
      <c r="G314">
        <v>100</v>
      </c>
      <c r="H314">
        <v>98.8</v>
      </c>
      <c r="I314">
        <v>97.9</v>
      </c>
      <c r="K314">
        <f t="shared" si="55"/>
        <v>0</v>
      </c>
      <c r="L314">
        <f t="shared" si="56"/>
        <v>-4.5882083851480455E-4</v>
      </c>
      <c r="M314">
        <f t="shared" si="57"/>
        <v>-2.9955089797984512E-3</v>
      </c>
      <c r="N314">
        <f t="shared" si="58"/>
        <v>0</v>
      </c>
      <c r="AB314">
        <f t="shared" si="50"/>
        <v>-5.5628031974559213E-3</v>
      </c>
      <c r="AC314">
        <f t="shared" si="51"/>
        <v>2.7638646320471329E-4</v>
      </c>
      <c r="AD314">
        <f t="shared" si="52"/>
        <v>-2.7123470918566993E-3</v>
      </c>
      <c r="AE314">
        <f t="shared" si="53"/>
        <v>-3.304913508029847E-3</v>
      </c>
      <c r="AF314">
        <f t="shared" si="54"/>
        <v>-4.8465947909978654E-3</v>
      </c>
      <c r="AG314">
        <f t="shared" si="59"/>
        <v>2.2782631676859232E-4</v>
      </c>
    </row>
    <row r="315" spans="1:33" x14ac:dyDescent="0.3">
      <c r="A315" s="17">
        <v>45735</v>
      </c>
      <c r="B315">
        <v>99.15</v>
      </c>
      <c r="C315">
        <v>98.55</v>
      </c>
      <c r="D315">
        <v>109.25</v>
      </c>
      <c r="E315">
        <v>108.3</v>
      </c>
      <c r="F315">
        <v>100.95</v>
      </c>
      <c r="G315">
        <v>100.05</v>
      </c>
      <c r="H315">
        <v>98.5</v>
      </c>
      <c r="I315">
        <v>97.55</v>
      </c>
      <c r="K315">
        <f t="shared" si="55"/>
        <v>-1.0141988698952702E-3</v>
      </c>
      <c r="L315">
        <f t="shared" si="56"/>
        <v>-5.9839073836839797E-3</v>
      </c>
      <c r="M315">
        <f t="shared" si="57"/>
        <v>4.9987504165099287E-4</v>
      </c>
      <c r="N315">
        <f t="shared" si="58"/>
        <v>-3.0410565757789344E-3</v>
      </c>
      <c r="AB315">
        <f t="shared" si="50"/>
        <v>-4.3214130406859126E-3</v>
      </c>
      <c r="AC315">
        <f t="shared" si="51"/>
        <v>-2.7095946172088201E-3</v>
      </c>
      <c r="AD315">
        <f t="shared" si="52"/>
        <v>-1.0156605004176104E-3</v>
      </c>
      <c r="AE315">
        <f t="shared" si="53"/>
        <v>-3.9562824645816806E-3</v>
      </c>
      <c r="AF315">
        <f t="shared" si="54"/>
        <v>-3.2316754137711851E-3</v>
      </c>
      <c r="AG315">
        <f t="shared" si="59"/>
        <v>-2.8503245763962172E-3</v>
      </c>
    </row>
    <row r="316" spans="1:33" x14ac:dyDescent="0.3">
      <c r="A316" s="17">
        <v>45736</v>
      </c>
      <c r="B316">
        <v>99.05</v>
      </c>
      <c r="C316">
        <v>98.45</v>
      </c>
      <c r="D316">
        <v>108.75</v>
      </c>
      <c r="E316">
        <v>107.8</v>
      </c>
      <c r="F316">
        <v>100.65</v>
      </c>
      <c r="G316">
        <v>99.75</v>
      </c>
      <c r="H316">
        <v>98.4</v>
      </c>
      <c r="I316">
        <v>97.45</v>
      </c>
      <c r="K316">
        <f t="shared" si="55"/>
        <v>-1.0152285135945518E-3</v>
      </c>
      <c r="L316">
        <f t="shared" si="56"/>
        <v>-4.6274955320481032E-3</v>
      </c>
      <c r="M316">
        <f t="shared" si="57"/>
        <v>-3.0030052597695457E-3</v>
      </c>
      <c r="N316">
        <f t="shared" si="58"/>
        <v>-1.0157441198354164E-3</v>
      </c>
      <c r="AB316">
        <f t="shared" si="50"/>
        <v>-3.0625888088258936E-3</v>
      </c>
      <c r="AC316">
        <f t="shared" si="51"/>
        <v>-2.7174569790618893E-3</v>
      </c>
      <c r="AD316">
        <f t="shared" si="52"/>
        <v>-6.146238369446189E-3</v>
      </c>
      <c r="AE316">
        <f t="shared" si="53"/>
        <v>-3.1528775061352467E-3</v>
      </c>
      <c r="AF316">
        <f t="shared" si="54"/>
        <v>-4.7543108136191984E-3</v>
      </c>
      <c r="AG316">
        <f t="shared" si="59"/>
        <v>-3.329141601116547E-3</v>
      </c>
    </row>
    <row r="317" spans="1:33" x14ac:dyDescent="0.3">
      <c r="A317" s="17">
        <v>45737</v>
      </c>
      <c r="B317">
        <v>98.95</v>
      </c>
      <c r="C317">
        <v>98.35</v>
      </c>
      <c r="D317">
        <v>108.4</v>
      </c>
      <c r="E317">
        <v>107.45</v>
      </c>
      <c r="F317">
        <v>100.35</v>
      </c>
      <c r="G317">
        <v>99.45</v>
      </c>
      <c r="H317">
        <v>97.7</v>
      </c>
      <c r="I317">
        <v>96.75</v>
      </c>
      <c r="K317">
        <f t="shared" si="55"/>
        <v>-1.0162602500665902E-3</v>
      </c>
      <c r="L317">
        <f t="shared" si="56"/>
        <v>-3.2520353863772318E-3</v>
      </c>
      <c r="M317">
        <f t="shared" si="57"/>
        <v>-3.0120504699916095E-3</v>
      </c>
      <c r="N317">
        <f t="shared" si="58"/>
        <v>-7.1392450094707642E-3</v>
      </c>
      <c r="AB317">
        <f t="shared" si="50"/>
        <v>-8.043868645704005E-3</v>
      </c>
      <c r="AC317">
        <f t="shared" si="51"/>
        <v>-8.3506360533584338E-3</v>
      </c>
      <c r="AD317">
        <f t="shared" si="52"/>
        <v>-8.414623991681509E-3</v>
      </c>
      <c r="AE317">
        <f t="shared" si="53"/>
        <v>-8.6921085316075692E-3</v>
      </c>
      <c r="AF317">
        <f t="shared" si="54"/>
        <v>-8.7371716403980889E-3</v>
      </c>
      <c r="AG317">
        <f t="shared" si="59"/>
        <v>-9.1035405078625092E-3</v>
      </c>
    </row>
    <row r="318" spans="1:33" x14ac:dyDescent="0.3">
      <c r="A318" s="17">
        <v>45740</v>
      </c>
      <c r="B318">
        <v>98.55</v>
      </c>
      <c r="C318">
        <v>97.95</v>
      </c>
      <c r="D318">
        <v>107.5</v>
      </c>
      <c r="E318">
        <v>106.55</v>
      </c>
      <c r="F318">
        <v>99.5</v>
      </c>
      <c r="G318">
        <v>98.55</v>
      </c>
      <c r="H318">
        <v>96.8</v>
      </c>
      <c r="I318">
        <v>95.85</v>
      </c>
      <c r="K318">
        <f t="shared" si="55"/>
        <v>-4.0754004445182563E-3</v>
      </c>
      <c r="L318">
        <f t="shared" si="56"/>
        <v>-8.4112645438933868E-3</v>
      </c>
      <c r="M318">
        <f t="shared" si="57"/>
        <v>-9.0909717012520753E-3</v>
      </c>
      <c r="N318">
        <f t="shared" si="58"/>
        <v>-9.2545647662057497E-3</v>
      </c>
      <c r="AB318">
        <f t="shared" si="50"/>
        <v>3.4284809873714778E-4</v>
      </c>
      <c r="AC318">
        <f t="shared" si="51"/>
        <v>-1.4491632266025211E-3</v>
      </c>
      <c r="AD318">
        <f t="shared" si="52"/>
        <v>-1.6565567561215993E-4</v>
      </c>
      <c r="AE318">
        <f t="shared" si="53"/>
        <v>-3.540670838844531E-4</v>
      </c>
      <c r="AF318">
        <f t="shared" si="54"/>
        <v>2.878413019979967E-4</v>
      </c>
      <c r="AG318">
        <f t="shared" si="59"/>
        <v>-1.4062002671623233E-3</v>
      </c>
    </row>
    <row r="319" spans="1:33" x14ac:dyDescent="0.3">
      <c r="A319" s="17">
        <v>45741</v>
      </c>
      <c r="B319">
        <v>98.45</v>
      </c>
      <c r="C319">
        <v>97.85</v>
      </c>
      <c r="D319">
        <v>107.55</v>
      </c>
      <c r="E319">
        <v>106.6</v>
      </c>
      <c r="F319">
        <v>99.3</v>
      </c>
      <c r="G319">
        <v>98.4</v>
      </c>
      <c r="H319">
        <v>96.8</v>
      </c>
      <c r="I319">
        <v>95.85</v>
      </c>
      <c r="K319">
        <f t="shared" si="55"/>
        <v>-1.0214505484645643E-3</v>
      </c>
      <c r="L319">
        <f t="shared" si="56"/>
        <v>4.6915318711796548E-4</v>
      </c>
      <c r="M319">
        <f t="shared" si="57"/>
        <v>-1.5232295405214146E-3</v>
      </c>
      <c r="N319">
        <f t="shared" si="58"/>
        <v>0</v>
      </c>
      <c r="AB319">
        <f t="shared" si="50"/>
        <v>2.8315678494714789E-3</v>
      </c>
      <c r="AC319">
        <f t="shared" si="51"/>
        <v>1.3176725996179774E-3</v>
      </c>
      <c r="AD319">
        <f t="shared" si="52"/>
        <v>4.964602621581242E-4</v>
      </c>
      <c r="AE319">
        <f t="shared" si="53"/>
        <v>2.068822274535424E-3</v>
      </c>
      <c r="AF319">
        <f t="shared" si="54"/>
        <v>1.7242176892373869E-3</v>
      </c>
      <c r="AG319">
        <f t="shared" si="59"/>
        <v>9.3770480067777325E-4</v>
      </c>
    </row>
    <row r="320" spans="1:33" x14ac:dyDescent="0.3">
      <c r="A320" s="17">
        <v>45742</v>
      </c>
      <c r="B320">
        <v>98.75</v>
      </c>
      <c r="C320">
        <v>98.15</v>
      </c>
      <c r="D320">
        <v>107.85</v>
      </c>
      <c r="E320">
        <v>106.9</v>
      </c>
      <c r="F320">
        <v>99.4</v>
      </c>
      <c r="G320">
        <v>98.5</v>
      </c>
      <c r="H320">
        <v>96.8</v>
      </c>
      <c r="I320">
        <v>95.85</v>
      </c>
      <c r="K320">
        <f t="shared" si="55"/>
        <v>3.0612268803849726E-3</v>
      </c>
      <c r="L320">
        <f t="shared" si="56"/>
        <v>2.8103062992555659E-3</v>
      </c>
      <c r="M320">
        <f t="shared" si="57"/>
        <v>1.0157441198354218E-3</v>
      </c>
      <c r="N320">
        <f t="shared" si="58"/>
        <v>0</v>
      </c>
      <c r="AB320">
        <f t="shared" si="50"/>
        <v>1.4127811027383834E-3</v>
      </c>
      <c r="AC320">
        <f t="shared" si="51"/>
        <v>6.6911263903007522E-3</v>
      </c>
      <c r="AD320">
        <f t="shared" si="52"/>
        <v>8.8584577010810614E-3</v>
      </c>
      <c r="AE320">
        <f t="shared" si="53"/>
        <v>3.9569845070649336E-3</v>
      </c>
      <c r="AF320">
        <f t="shared" si="54"/>
        <v>4.8322342853258839E-3</v>
      </c>
      <c r="AG320">
        <f t="shared" si="59"/>
        <v>7.7922131894315998E-3</v>
      </c>
    </row>
    <row r="321" spans="1:33" x14ac:dyDescent="0.3">
      <c r="A321" s="17">
        <v>45743</v>
      </c>
      <c r="B321">
        <v>98.9</v>
      </c>
      <c r="C321">
        <v>98.3</v>
      </c>
      <c r="D321">
        <v>108</v>
      </c>
      <c r="E321">
        <v>107.05</v>
      </c>
      <c r="F321">
        <v>100.15</v>
      </c>
      <c r="G321">
        <v>99.25</v>
      </c>
      <c r="H321">
        <v>97.8</v>
      </c>
      <c r="I321">
        <v>96.85</v>
      </c>
      <c r="K321">
        <f t="shared" si="55"/>
        <v>1.5271064306508044E-3</v>
      </c>
      <c r="L321">
        <f t="shared" si="56"/>
        <v>1.4021970046922834E-3</v>
      </c>
      <c r="M321">
        <f t="shared" si="57"/>
        <v>7.5853713892565641E-3</v>
      </c>
      <c r="N321">
        <f t="shared" si="58"/>
        <v>1.027758275824023E-2</v>
      </c>
      <c r="AB321">
        <f t="shared" si="50"/>
        <v>0</v>
      </c>
      <c r="AC321">
        <f t="shared" si="51"/>
        <v>0</v>
      </c>
      <c r="AD321">
        <f t="shared" si="52"/>
        <v>0</v>
      </c>
      <c r="AE321">
        <f t="shared" si="53"/>
        <v>0</v>
      </c>
      <c r="AF321">
        <f t="shared" si="54"/>
        <v>0</v>
      </c>
      <c r="AG321">
        <f t="shared" si="59"/>
        <v>0</v>
      </c>
    </row>
    <row r="322" spans="1:33" x14ac:dyDescent="0.3">
      <c r="A322" s="17">
        <v>45744</v>
      </c>
      <c r="B322">
        <v>98.9</v>
      </c>
      <c r="C322">
        <v>98.3</v>
      </c>
      <c r="D322">
        <v>108</v>
      </c>
      <c r="E322">
        <v>107.05</v>
      </c>
      <c r="F322">
        <v>100.15</v>
      </c>
      <c r="G322">
        <v>99.25</v>
      </c>
      <c r="H322">
        <v>97.8</v>
      </c>
      <c r="I322">
        <v>96.85</v>
      </c>
      <c r="K322">
        <f t="shared" si="55"/>
        <v>0</v>
      </c>
      <c r="L322">
        <f t="shared" si="56"/>
        <v>0</v>
      </c>
      <c r="M322">
        <f t="shared" si="57"/>
        <v>0</v>
      </c>
      <c r="N322">
        <f t="shared" si="58"/>
        <v>0</v>
      </c>
      <c r="AB322">
        <f t="shared" si="50"/>
        <v>0</v>
      </c>
      <c r="AC322">
        <f t="shared" si="51"/>
        <v>0</v>
      </c>
      <c r="AD322">
        <f t="shared" si="52"/>
        <v>0</v>
      </c>
      <c r="AE322">
        <f t="shared" si="53"/>
        <v>0</v>
      </c>
      <c r="AF322">
        <f t="shared" si="54"/>
        <v>0</v>
      </c>
      <c r="AG322">
        <f t="shared" si="59"/>
        <v>0</v>
      </c>
    </row>
    <row r="323" spans="1:33" x14ac:dyDescent="0.3">
      <c r="A323" s="17">
        <v>45747</v>
      </c>
      <c r="B323">
        <v>98.9</v>
      </c>
      <c r="C323">
        <v>98.3</v>
      </c>
      <c r="D323">
        <v>108</v>
      </c>
      <c r="E323">
        <v>107.05</v>
      </c>
      <c r="F323">
        <v>100.15</v>
      </c>
      <c r="G323">
        <v>99.25</v>
      </c>
      <c r="H323">
        <v>97.8</v>
      </c>
      <c r="I323">
        <v>96.85</v>
      </c>
      <c r="K323">
        <f t="shared" si="55"/>
        <v>0</v>
      </c>
      <c r="L323">
        <f t="shared" si="56"/>
        <v>0</v>
      </c>
      <c r="M323">
        <f t="shared" si="57"/>
        <v>0</v>
      </c>
      <c r="N323">
        <f t="shared" si="58"/>
        <v>0</v>
      </c>
      <c r="AB323">
        <f t="shared" ref="AB323:AB386" si="60">K324*$S$108+L324*$T$108</f>
        <v>0</v>
      </c>
      <c r="AC323">
        <f t="shared" ref="AC323:AC386" si="61">K324*$S$109+M324*$T$109</f>
        <v>0</v>
      </c>
      <c r="AD323">
        <f t="shared" ref="AD323:AD386" si="62">K324*$S$110+N324*$T$110</f>
        <v>0</v>
      </c>
      <c r="AE323">
        <f t="shared" ref="AE323:AE386" si="63">L324*$S$111+M324*$T$111</f>
        <v>0</v>
      </c>
      <c r="AF323">
        <f t="shared" ref="AF323:AF386" si="64">L324*$S$112+N324*$T$112</f>
        <v>0</v>
      </c>
      <c r="AG323">
        <f t="shared" si="59"/>
        <v>0</v>
      </c>
    </row>
    <row r="324" spans="1:33" x14ac:dyDescent="0.3">
      <c r="A324" s="17">
        <v>45748</v>
      </c>
      <c r="B324">
        <v>98.9</v>
      </c>
      <c r="C324">
        <v>98.3</v>
      </c>
      <c r="D324">
        <v>108</v>
      </c>
      <c r="E324">
        <v>107.05</v>
      </c>
      <c r="F324">
        <v>100.15</v>
      </c>
      <c r="G324">
        <v>99.25</v>
      </c>
      <c r="H324">
        <v>97.8</v>
      </c>
      <c r="I324">
        <v>96.85</v>
      </c>
      <c r="K324">
        <f t="shared" ref="K324:K387" si="65">LN(C324/C323)</f>
        <v>0</v>
      </c>
      <c r="L324">
        <f t="shared" ref="L324:L387" si="66">LN(E324/E323)</f>
        <v>0</v>
      </c>
      <c r="M324">
        <f t="shared" ref="M324:M387" si="67">LN(G324/G323)</f>
        <v>0</v>
      </c>
      <c r="N324">
        <f t="shared" ref="N324:N387" si="68">LN(H324/H323)</f>
        <v>0</v>
      </c>
      <c r="AB324">
        <f t="shared" si="60"/>
        <v>0</v>
      </c>
      <c r="AC324">
        <f t="shared" si="61"/>
        <v>0</v>
      </c>
      <c r="AD324">
        <f t="shared" si="62"/>
        <v>0</v>
      </c>
      <c r="AE324">
        <f t="shared" si="63"/>
        <v>0</v>
      </c>
      <c r="AF324">
        <f t="shared" si="64"/>
        <v>0</v>
      </c>
      <c r="AG324">
        <f t="shared" ref="AG324:AG387" si="69">M325*$S$113+N325*$T$113</f>
        <v>0</v>
      </c>
    </row>
    <row r="325" spans="1:33" x14ac:dyDescent="0.3">
      <c r="A325" s="17">
        <v>45749</v>
      </c>
      <c r="B325">
        <v>98.9</v>
      </c>
      <c r="C325">
        <v>98.3</v>
      </c>
      <c r="D325">
        <v>108</v>
      </c>
      <c r="E325">
        <v>107.05</v>
      </c>
      <c r="F325">
        <v>100.15</v>
      </c>
      <c r="G325">
        <v>99.25</v>
      </c>
      <c r="H325">
        <v>97.8</v>
      </c>
      <c r="I325">
        <v>96.85</v>
      </c>
      <c r="K325">
        <f t="shared" si="65"/>
        <v>0</v>
      </c>
      <c r="L325">
        <f t="shared" si="66"/>
        <v>0</v>
      </c>
      <c r="M325">
        <f t="shared" si="67"/>
        <v>0</v>
      </c>
      <c r="N325">
        <f t="shared" si="68"/>
        <v>0</v>
      </c>
      <c r="AB325">
        <f t="shared" si="60"/>
        <v>0</v>
      </c>
      <c r="AC325">
        <f t="shared" si="61"/>
        <v>0</v>
      </c>
      <c r="AD325">
        <f t="shared" si="62"/>
        <v>0</v>
      </c>
      <c r="AE325">
        <f t="shared" si="63"/>
        <v>0</v>
      </c>
      <c r="AF325">
        <f t="shared" si="64"/>
        <v>0</v>
      </c>
      <c r="AG325">
        <f t="shared" si="69"/>
        <v>0</v>
      </c>
    </row>
    <row r="326" spans="1:33" x14ac:dyDescent="0.3">
      <c r="A326" s="17">
        <v>45750</v>
      </c>
      <c r="B326">
        <v>98.9</v>
      </c>
      <c r="C326">
        <v>98.3</v>
      </c>
      <c r="D326">
        <v>108</v>
      </c>
      <c r="E326">
        <v>107.05</v>
      </c>
      <c r="F326">
        <v>100.15</v>
      </c>
      <c r="G326">
        <v>99.25</v>
      </c>
      <c r="H326">
        <v>97.8</v>
      </c>
      <c r="I326">
        <v>96.85</v>
      </c>
      <c r="K326">
        <f t="shared" si="65"/>
        <v>0</v>
      </c>
      <c r="L326">
        <f t="shared" si="66"/>
        <v>0</v>
      </c>
      <c r="M326">
        <f t="shared" si="67"/>
        <v>0</v>
      </c>
      <c r="N326">
        <f t="shared" si="68"/>
        <v>0</v>
      </c>
      <c r="AB326">
        <f t="shared" si="60"/>
        <v>0</v>
      </c>
      <c r="AC326">
        <f t="shared" si="61"/>
        <v>0</v>
      </c>
      <c r="AD326">
        <f t="shared" si="62"/>
        <v>0</v>
      </c>
      <c r="AE326">
        <f t="shared" si="63"/>
        <v>0</v>
      </c>
      <c r="AF326">
        <f t="shared" si="64"/>
        <v>0</v>
      </c>
      <c r="AG326">
        <f t="shared" si="69"/>
        <v>0</v>
      </c>
    </row>
    <row r="327" spans="1:33" x14ac:dyDescent="0.3">
      <c r="A327" s="17">
        <v>45751</v>
      </c>
      <c r="B327">
        <v>98.9</v>
      </c>
      <c r="C327">
        <v>98.3</v>
      </c>
      <c r="D327">
        <v>108</v>
      </c>
      <c r="E327">
        <v>107.05</v>
      </c>
      <c r="F327">
        <v>100.15</v>
      </c>
      <c r="G327">
        <v>99.25</v>
      </c>
      <c r="H327">
        <v>97.8</v>
      </c>
      <c r="I327">
        <v>96.85</v>
      </c>
      <c r="K327">
        <f t="shared" si="65"/>
        <v>0</v>
      </c>
      <c r="L327">
        <f t="shared" si="66"/>
        <v>0</v>
      </c>
      <c r="M327">
        <f t="shared" si="67"/>
        <v>0</v>
      </c>
      <c r="N327">
        <f t="shared" si="68"/>
        <v>0</v>
      </c>
      <c r="AB327">
        <f t="shared" si="60"/>
        <v>0</v>
      </c>
      <c r="AC327">
        <f t="shared" si="61"/>
        <v>0</v>
      </c>
      <c r="AD327">
        <f t="shared" si="62"/>
        <v>0</v>
      </c>
      <c r="AE327">
        <f t="shared" si="63"/>
        <v>0</v>
      </c>
      <c r="AF327">
        <f t="shared" si="64"/>
        <v>0</v>
      </c>
      <c r="AG327">
        <f t="shared" si="69"/>
        <v>0</v>
      </c>
    </row>
    <row r="328" spans="1:33" x14ac:dyDescent="0.3">
      <c r="A328" s="17">
        <v>45754</v>
      </c>
      <c r="B328">
        <v>98.9</v>
      </c>
      <c r="C328">
        <v>98.3</v>
      </c>
      <c r="D328">
        <v>108</v>
      </c>
      <c r="E328">
        <v>107.05</v>
      </c>
      <c r="F328">
        <v>100.15</v>
      </c>
      <c r="G328">
        <v>99.25</v>
      </c>
      <c r="H328">
        <v>97.8</v>
      </c>
      <c r="I328">
        <v>96.85</v>
      </c>
      <c r="K328">
        <f t="shared" si="65"/>
        <v>0</v>
      </c>
      <c r="L328">
        <f t="shared" si="66"/>
        <v>0</v>
      </c>
      <c r="M328">
        <f t="shared" si="67"/>
        <v>0</v>
      </c>
      <c r="N328">
        <f t="shared" si="68"/>
        <v>0</v>
      </c>
      <c r="AB328">
        <f t="shared" si="60"/>
        <v>-2.2693706064340433E-3</v>
      </c>
      <c r="AC328">
        <f t="shared" si="61"/>
        <v>-3.6676887640330787E-3</v>
      </c>
      <c r="AD328">
        <f t="shared" si="62"/>
        <v>-3.6813674423488026E-3</v>
      </c>
      <c r="AE328">
        <f t="shared" si="63"/>
        <v>-3.0406172603669795E-3</v>
      </c>
      <c r="AF328">
        <f t="shared" si="64"/>
        <v>-3.0183765477223338E-3</v>
      </c>
      <c r="AG328">
        <f t="shared" si="69"/>
        <v>-4.0429794594700951E-3</v>
      </c>
    </row>
    <row r="329" spans="1:33" x14ac:dyDescent="0.3">
      <c r="A329" s="17">
        <v>45755</v>
      </c>
      <c r="B329">
        <v>98.75</v>
      </c>
      <c r="C329">
        <v>98.15</v>
      </c>
      <c r="D329">
        <v>107.75</v>
      </c>
      <c r="E329">
        <v>106.8</v>
      </c>
      <c r="F329">
        <v>99.75</v>
      </c>
      <c r="G329">
        <v>98.85</v>
      </c>
      <c r="H329">
        <v>97.4</v>
      </c>
      <c r="I329">
        <v>96.45</v>
      </c>
      <c r="K329">
        <f t="shared" si="65"/>
        <v>-1.5271064306507059E-3</v>
      </c>
      <c r="L329">
        <f t="shared" si="66"/>
        <v>-2.3380885095973438E-3</v>
      </c>
      <c r="M329">
        <f t="shared" si="67"/>
        <v>-4.0383699506739814E-3</v>
      </c>
      <c r="N329">
        <f t="shared" si="68"/>
        <v>-4.0983663922821365E-3</v>
      </c>
      <c r="AB329">
        <f t="shared" si="60"/>
        <v>1.0684801984118897E-3</v>
      </c>
      <c r="AC329">
        <f t="shared" si="61"/>
        <v>-1.239199346003595E-3</v>
      </c>
      <c r="AD329">
        <f t="shared" si="62"/>
        <v>-5.5907015319501237E-3</v>
      </c>
      <c r="AE329">
        <f t="shared" si="63"/>
        <v>4.0539955147792585E-4</v>
      </c>
      <c r="AF329">
        <f t="shared" si="64"/>
        <v>-1.5269586330277096E-3</v>
      </c>
      <c r="AG329">
        <f t="shared" si="69"/>
        <v>-1.4091303301806382E-3</v>
      </c>
    </row>
    <row r="330" spans="1:33" x14ac:dyDescent="0.3">
      <c r="A330" s="17">
        <v>45756</v>
      </c>
      <c r="B330">
        <v>98.5</v>
      </c>
      <c r="C330">
        <v>97.9</v>
      </c>
      <c r="D330">
        <v>107.9</v>
      </c>
      <c r="E330">
        <v>106.95</v>
      </c>
      <c r="F330">
        <v>99.65</v>
      </c>
      <c r="G330">
        <v>98.75</v>
      </c>
      <c r="H330">
        <v>96.8</v>
      </c>
      <c r="I330">
        <v>95.85</v>
      </c>
      <c r="K330">
        <f t="shared" si="65"/>
        <v>-2.5503711860053861E-3</v>
      </c>
      <c r="L330">
        <f t="shared" si="66"/>
        <v>1.4035090023203122E-3</v>
      </c>
      <c r="M330">
        <f t="shared" si="67"/>
        <v>-1.012145835394629E-3</v>
      </c>
      <c r="N330">
        <f t="shared" si="68"/>
        <v>-6.1792163659581201E-3</v>
      </c>
      <c r="AB330">
        <f t="shared" si="60"/>
        <v>5.7187167716281273E-3</v>
      </c>
      <c r="AC330">
        <f t="shared" si="61"/>
        <v>1.1639853607323563E-3</v>
      </c>
      <c r="AD330">
        <f t="shared" si="62"/>
        <v>1.6282481130038748E-3</v>
      </c>
      <c r="AE330">
        <f t="shared" si="63"/>
        <v>3.9738461286856191E-3</v>
      </c>
      <c r="AF330">
        <f t="shared" si="64"/>
        <v>4.315930539574608E-3</v>
      </c>
      <c r="AG330">
        <f t="shared" si="69"/>
        <v>1.0533451160667326E-3</v>
      </c>
    </row>
    <row r="331" spans="1:33" x14ac:dyDescent="0.3">
      <c r="A331" s="17">
        <v>45757</v>
      </c>
      <c r="B331">
        <v>98.7</v>
      </c>
      <c r="C331">
        <v>98.1</v>
      </c>
      <c r="D331">
        <v>108.55</v>
      </c>
      <c r="E331">
        <v>107.6</v>
      </c>
      <c r="F331">
        <v>99.75</v>
      </c>
      <c r="G331">
        <v>98.85</v>
      </c>
      <c r="H331">
        <v>96.95</v>
      </c>
      <c r="I331">
        <v>96</v>
      </c>
      <c r="K331">
        <f t="shared" si="65"/>
        <v>2.0408170348525448E-3</v>
      </c>
      <c r="L331">
        <f t="shared" si="66"/>
        <v>6.0592121992693046E-3</v>
      </c>
      <c r="M331">
        <f t="shared" si="67"/>
        <v>1.0121458353945839E-3</v>
      </c>
      <c r="N331">
        <f t="shared" si="68"/>
        <v>1.5483874061295432E-3</v>
      </c>
      <c r="AB331">
        <f t="shared" si="60"/>
        <v>2.0899670657772279E-4</v>
      </c>
      <c r="AC331">
        <f t="shared" si="61"/>
        <v>-2.9675067175205742E-3</v>
      </c>
      <c r="AD331">
        <f t="shared" si="62"/>
        <v>-5.1803488816423975E-3</v>
      </c>
      <c r="AE331">
        <f t="shared" si="63"/>
        <v>-9.8325801496969246E-4</v>
      </c>
      <c r="AF331">
        <f t="shared" si="64"/>
        <v>-1.9136431421632888E-3</v>
      </c>
      <c r="AG331">
        <f t="shared" si="69"/>
        <v>-3.2430889205139236E-3</v>
      </c>
    </row>
    <row r="332" spans="1:33" x14ac:dyDescent="0.3">
      <c r="A332" s="17">
        <v>45758</v>
      </c>
      <c r="B332">
        <v>98.45</v>
      </c>
      <c r="C332">
        <v>97.85</v>
      </c>
      <c r="D332">
        <v>108.6</v>
      </c>
      <c r="E332">
        <v>107.65</v>
      </c>
      <c r="F332">
        <v>99.45</v>
      </c>
      <c r="G332">
        <v>98.55</v>
      </c>
      <c r="H332">
        <v>96.4</v>
      </c>
      <c r="I332">
        <v>95.45</v>
      </c>
      <c r="K332">
        <f t="shared" si="65"/>
        <v>-2.5516727292321587E-3</v>
      </c>
      <c r="L332">
        <f t="shared" si="66"/>
        <v>4.6457608268820553E-4</v>
      </c>
      <c r="M332">
        <f t="shared" si="67"/>
        <v>-3.039516017896704E-3</v>
      </c>
      <c r="N332">
        <f t="shared" si="68"/>
        <v>-5.689180072160867E-3</v>
      </c>
      <c r="AB332">
        <f t="shared" si="60"/>
        <v>-1.8686406698208364E-3</v>
      </c>
      <c r="AC332">
        <f t="shared" si="61"/>
        <v>5.6257304281696532E-3</v>
      </c>
      <c r="AD332">
        <f t="shared" si="62"/>
        <v>-8.0822171601550624E-4</v>
      </c>
      <c r="AE332">
        <f t="shared" si="63"/>
        <v>1.1435797207765175E-3</v>
      </c>
      <c r="AF332">
        <f t="shared" si="64"/>
        <v>-2.0283077938827157E-3</v>
      </c>
      <c r="AG332">
        <f t="shared" si="69"/>
        <v>5.4838373941695374E-3</v>
      </c>
    </row>
    <row r="333" spans="1:33" x14ac:dyDescent="0.3">
      <c r="A333" s="17">
        <v>45761</v>
      </c>
      <c r="B333">
        <v>98.75</v>
      </c>
      <c r="C333">
        <v>98.15</v>
      </c>
      <c r="D333">
        <v>108.35</v>
      </c>
      <c r="E333">
        <v>107.4</v>
      </c>
      <c r="F333">
        <v>100.05</v>
      </c>
      <c r="G333">
        <v>99.15</v>
      </c>
      <c r="H333">
        <v>96.25</v>
      </c>
      <c r="I333">
        <v>95.25</v>
      </c>
      <c r="K333">
        <f t="shared" si="65"/>
        <v>3.0612268803849726E-3</v>
      </c>
      <c r="L333">
        <f t="shared" si="66"/>
        <v>-2.3250417356077235E-3</v>
      </c>
      <c r="M333">
        <f t="shared" si="67"/>
        <v>6.0698213670757738E-3</v>
      </c>
      <c r="N333">
        <f t="shared" si="68"/>
        <v>-1.557228448606431E-3</v>
      </c>
      <c r="AB333">
        <f t="shared" si="60"/>
        <v>6.7923563525006322E-3</v>
      </c>
      <c r="AC333">
        <f t="shared" si="61"/>
        <v>0</v>
      </c>
      <c r="AD333">
        <f t="shared" si="62"/>
        <v>8.6597474583881701E-3</v>
      </c>
      <c r="AE333">
        <f t="shared" si="63"/>
        <v>4.3548711755818249E-3</v>
      </c>
      <c r="AF333">
        <f t="shared" si="64"/>
        <v>8.5476658980009577E-3</v>
      </c>
      <c r="AG333">
        <f t="shared" si="69"/>
        <v>7.9411252816571985E-4</v>
      </c>
    </row>
    <row r="334" spans="1:33" x14ac:dyDescent="0.3">
      <c r="A334" s="17">
        <v>45762</v>
      </c>
      <c r="B334">
        <v>98.75</v>
      </c>
      <c r="C334">
        <v>98.15</v>
      </c>
      <c r="D334">
        <v>109.15</v>
      </c>
      <c r="E334">
        <v>108.2</v>
      </c>
      <c r="F334">
        <v>100.05</v>
      </c>
      <c r="G334">
        <v>99.15</v>
      </c>
      <c r="H334">
        <v>97.25</v>
      </c>
      <c r="I334">
        <v>96.3</v>
      </c>
      <c r="K334">
        <f t="shared" si="65"/>
        <v>0</v>
      </c>
      <c r="L334">
        <f t="shared" si="66"/>
        <v>7.4211843376168259E-3</v>
      </c>
      <c r="M334">
        <f t="shared" si="67"/>
        <v>0</v>
      </c>
      <c r="N334">
        <f t="shared" si="68"/>
        <v>1.0336009330662073E-2</v>
      </c>
      <c r="AB334">
        <f t="shared" si="60"/>
        <v>2.7066809524277482E-3</v>
      </c>
      <c r="AC334">
        <f t="shared" si="61"/>
        <v>1.1597400333572103E-3</v>
      </c>
      <c r="AD334">
        <f t="shared" si="62"/>
        <v>3.3400198562874434E-3</v>
      </c>
      <c r="AE334">
        <f t="shared" si="63"/>
        <v>2.0412965075240295E-3</v>
      </c>
      <c r="AF334">
        <f t="shared" si="64"/>
        <v>3.0871405217506331E-3</v>
      </c>
      <c r="AG334">
        <f t="shared" si="69"/>
        <v>1.2066268448742252E-3</v>
      </c>
    </row>
    <row r="335" spans="1:33" x14ac:dyDescent="0.3">
      <c r="A335" s="17">
        <v>45763</v>
      </c>
      <c r="B335">
        <v>98.95</v>
      </c>
      <c r="C335">
        <v>98.35</v>
      </c>
      <c r="D335">
        <v>109.45</v>
      </c>
      <c r="E335">
        <v>108.5</v>
      </c>
      <c r="F335">
        <v>100.15</v>
      </c>
      <c r="G335">
        <v>99.25</v>
      </c>
      <c r="H335">
        <v>97.6</v>
      </c>
      <c r="I335">
        <v>96.65</v>
      </c>
      <c r="K335">
        <f t="shared" si="65"/>
        <v>2.0356241125977941E-3</v>
      </c>
      <c r="L335">
        <f t="shared" si="66"/>
        <v>2.7688065681330189E-3</v>
      </c>
      <c r="M335">
        <f t="shared" si="67"/>
        <v>1.0080646014948202E-3</v>
      </c>
      <c r="N335">
        <f t="shared" si="68"/>
        <v>3.5925109204910976E-3</v>
      </c>
      <c r="AB335">
        <f t="shared" si="60"/>
        <v>1.2913517679594337E-4</v>
      </c>
      <c r="AC335">
        <f t="shared" si="61"/>
        <v>5.3624437640736704E-3</v>
      </c>
      <c r="AD335">
        <f t="shared" si="62"/>
        <v>-2.332083852479063E-3</v>
      </c>
      <c r="AE335">
        <f t="shared" si="63"/>
        <v>2.4903167437646825E-3</v>
      </c>
      <c r="AF335">
        <f t="shared" si="64"/>
        <v>-1.1897380644302401E-3</v>
      </c>
      <c r="AG335">
        <f t="shared" si="69"/>
        <v>5.3275563293488206E-3</v>
      </c>
    </row>
    <row r="336" spans="1:33" x14ac:dyDescent="0.3">
      <c r="A336" s="17">
        <v>45764</v>
      </c>
      <c r="B336">
        <v>99.1</v>
      </c>
      <c r="C336">
        <v>98.5</v>
      </c>
      <c r="D336">
        <v>109.45</v>
      </c>
      <c r="E336">
        <v>108.5</v>
      </c>
      <c r="F336">
        <v>100.75</v>
      </c>
      <c r="G336">
        <v>99.85</v>
      </c>
      <c r="H336">
        <v>97.3</v>
      </c>
      <c r="I336">
        <v>96.35</v>
      </c>
      <c r="K336">
        <f t="shared" si="65"/>
        <v>1.5240033429751948E-3</v>
      </c>
      <c r="L336">
        <f t="shared" si="66"/>
        <v>0</v>
      </c>
      <c r="M336">
        <f t="shared" si="67"/>
        <v>6.0271402945243071E-3</v>
      </c>
      <c r="N336">
        <f t="shared" si="68"/>
        <v>-3.0785042270873859E-3</v>
      </c>
      <c r="AB336">
        <f t="shared" si="60"/>
        <v>0</v>
      </c>
      <c r="AC336">
        <f t="shared" si="61"/>
        <v>0</v>
      </c>
      <c r="AD336">
        <f t="shared" si="62"/>
        <v>0</v>
      </c>
      <c r="AE336">
        <f t="shared" si="63"/>
        <v>0</v>
      </c>
      <c r="AF336">
        <f t="shared" si="64"/>
        <v>0</v>
      </c>
      <c r="AG336">
        <f t="shared" si="69"/>
        <v>0</v>
      </c>
    </row>
    <row r="337" spans="1:33" x14ac:dyDescent="0.3">
      <c r="A337" s="17">
        <v>45765</v>
      </c>
      <c r="B337">
        <v>99.1</v>
      </c>
      <c r="C337">
        <v>98.5</v>
      </c>
      <c r="D337">
        <v>109.45</v>
      </c>
      <c r="E337">
        <v>108.5</v>
      </c>
      <c r="F337">
        <v>100.75</v>
      </c>
      <c r="G337">
        <v>99.85</v>
      </c>
      <c r="H337">
        <v>97.3</v>
      </c>
      <c r="I337">
        <v>96.35</v>
      </c>
      <c r="K337">
        <f t="shared" si="65"/>
        <v>0</v>
      </c>
      <c r="L337">
        <f t="shared" si="66"/>
        <v>0</v>
      </c>
      <c r="M337">
        <f t="shared" si="67"/>
        <v>0</v>
      </c>
      <c r="N337">
        <f t="shared" si="68"/>
        <v>0</v>
      </c>
      <c r="AB337">
        <f t="shared" si="60"/>
        <v>2.1064815233546924E-3</v>
      </c>
      <c r="AC337">
        <f t="shared" si="61"/>
        <v>-4.2694343847712364E-4</v>
      </c>
      <c r="AD337">
        <f t="shared" si="62"/>
        <v>0</v>
      </c>
      <c r="AE337">
        <f t="shared" si="63"/>
        <v>1.1436016366363807E-3</v>
      </c>
      <c r="AF337">
        <f t="shared" si="64"/>
        <v>1.412046017890892E-3</v>
      </c>
      <c r="AG337">
        <f t="shared" si="69"/>
        <v>-4.6239434820692405E-4</v>
      </c>
    </row>
    <row r="338" spans="1:33" x14ac:dyDescent="0.3">
      <c r="A338" s="17">
        <v>45768</v>
      </c>
      <c r="B338">
        <v>99.1</v>
      </c>
      <c r="C338">
        <v>98.5</v>
      </c>
      <c r="D338">
        <v>109.7</v>
      </c>
      <c r="E338">
        <v>108.75</v>
      </c>
      <c r="F338">
        <v>100.7</v>
      </c>
      <c r="G338">
        <v>99.8</v>
      </c>
      <c r="H338">
        <v>97.3</v>
      </c>
      <c r="I338">
        <v>96.35</v>
      </c>
      <c r="K338">
        <f t="shared" si="65"/>
        <v>0</v>
      </c>
      <c r="L338">
        <f t="shared" si="66"/>
        <v>2.3014969882791674E-3</v>
      </c>
      <c r="M338">
        <f t="shared" si="67"/>
        <v>-5.0087654440590993E-4</v>
      </c>
      <c r="N338">
        <f t="shared" si="68"/>
        <v>0</v>
      </c>
      <c r="AB338">
        <f t="shared" si="60"/>
        <v>-7.5603001880065828E-4</v>
      </c>
      <c r="AC338">
        <f t="shared" si="61"/>
        <v>-7.0474969610532633E-4</v>
      </c>
      <c r="AD338">
        <f t="shared" si="62"/>
        <v>1.4551765855565621E-3</v>
      </c>
      <c r="AE338">
        <f t="shared" si="63"/>
        <v>-9.5406873135252821E-4</v>
      </c>
      <c r="AF338">
        <f t="shared" si="64"/>
        <v>3.0898370033148343E-5</v>
      </c>
      <c r="AG338">
        <f t="shared" si="69"/>
        <v>-8.0713278537630534E-4</v>
      </c>
    </row>
    <row r="339" spans="1:33" x14ac:dyDescent="0.3">
      <c r="A339" s="17">
        <v>45769</v>
      </c>
      <c r="B339">
        <v>99.2</v>
      </c>
      <c r="C339">
        <v>98.6</v>
      </c>
      <c r="D339">
        <v>109.6</v>
      </c>
      <c r="E339">
        <v>108.65</v>
      </c>
      <c r="F339">
        <v>100.6</v>
      </c>
      <c r="G339">
        <v>99.7</v>
      </c>
      <c r="H339">
        <v>97.45</v>
      </c>
      <c r="I339">
        <v>96.55</v>
      </c>
      <c r="K339">
        <f t="shared" si="65"/>
        <v>1.0147134305463833E-3</v>
      </c>
      <c r="L339">
        <f t="shared" si="66"/>
        <v>-9.1996326635482425E-4</v>
      </c>
      <c r="M339">
        <f t="shared" si="67"/>
        <v>-1.00250634962559E-3</v>
      </c>
      <c r="N339">
        <f t="shared" si="68"/>
        <v>1.5404367616105247E-3</v>
      </c>
      <c r="AB339">
        <f t="shared" si="60"/>
        <v>1.7691417106640852E-3</v>
      </c>
      <c r="AC339">
        <f t="shared" si="61"/>
        <v>1.4962742578862053E-4</v>
      </c>
      <c r="AD339">
        <f t="shared" si="62"/>
        <v>1.8821274727925232E-3</v>
      </c>
      <c r="AE339">
        <f t="shared" si="63"/>
        <v>1.0792025068787989E-3</v>
      </c>
      <c r="AF339">
        <f t="shared" si="64"/>
        <v>1.9206834834130618E-3</v>
      </c>
      <c r="AG339">
        <f t="shared" si="69"/>
        <v>1.5751866738599691E-4</v>
      </c>
    </row>
    <row r="340" spans="1:33" x14ac:dyDescent="0.3">
      <c r="A340" s="17">
        <v>45770</v>
      </c>
      <c r="B340">
        <v>99.3</v>
      </c>
      <c r="C340">
        <v>98.7</v>
      </c>
      <c r="D340">
        <v>109.8</v>
      </c>
      <c r="E340">
        <v>108.85</v>
      </c>
      <c r="F340">
        <v>100.6</v>
      </c>
      <c r="G340">
        <v>99.7</v>
      </c>
      <c r="H340">
        <v>97.65</v>
      </c>
      <c r="I340">
        <v>96.7</v>
      </c>
      <c r="K340">
        <f t="shared" si="65"/>
        <v>1.013684830846201E-3</v>
      </c>
      <c r="L340">
        <f t="shared" si="66"/>
        <v>1.839080978117736E-3</v>
      </c>
      <c r="M340">
        <f t="shared" si="67"/>
        <v>0</v>
      </c>
      <c r="N340">
        <f t="shared" si="68"/>
        <v>2.0502313691182009E-3</v>
      </c>
      <c r="AB340">
        <f t="shared" si="60"/>
        <v>2.4761458290492411E-3</v>
      </c>
      <c r="AC340">
        <f t="shared" si="61"/>
        <v>2.4862263731261539E-3</v>
      </c>
      <c r="AD340">
        <f t="shared" si="62"/>
        <v>2.0600460834570289E-3</v>
      </c>
      <c r="AE340">
        <f t="shared" si="63"/>
        <v>2.8565059329750428E-3</v>
      </c>
      <c r="AF340">
        <f t="shared" si="64"/>
        <v>2.6767786063859262E-3</v>
      </c>
      <c r="AG340">
        <f t="shared" si="69"/>
        <v>2.9701187539488104E-3</v>
      </c>
    </row>
    <row r="341" spans="1:33" x14ac:dyDescent="0.3">
      <c r="A341" s="17">
        <v>45771</v>
      </c>
      <c r="B341">
        <v>99.25</v>
      </c>
      <c r="C341">
        <v>98.65</v>
      </c>
      <c r="D341">
        <v>110.1</v>
      </c>
      <c r="E341">
        <v>109.15</v>
      </c>
      <c r="F341">
        <v>100.9</v>
      </c>
      <c r="G341">
        <v>100</v>
      </c>
      <c r="H341">
        <v>97.9</v>
      </c>
      <c r="I341">
        <v>96.95</v>
      </c>
      <c r="K341">
        <f t="shared" si="65"/>
        <v>-5.0671397081152351E-4</v>
      </c>
      <c r="L341">
        <f t="shared" si="66"/>
        <v>2.7522953153964916E-3</v>
      </c>
      <c r="M341">
        <f t="shared" si="67"/>
        <v>3.0045090202987222E-3</v>
      </c>
      <c r="N341">
        <f t="shared" si="68"/>
        <v>2.5568922137767344E-3</v>
      </c>
      <c r="AB341">
        <f t="shared" si="60"/>
        <v>1.7161359204398432E-4</v>
      </c>
      <c r="AC341">
        <f t="shared" si="61"/>
        <v>1.1509185300181892E-3</v>
      </c>
      <c r="AD341">
        <f t="shared" si="62"/>
        <v>2.4652195538198869E-3</v>
      </c>
      <c r="AE341">
        <f t="shared" si="63"/>
        <v>4.1297734800322517E-4</v>
      </c>
      <c r="AF341">
        <f t="shared" si="64"/>
        <v>9.8563245478709466E-4</v>
      </c>
      <c r="AG341">
        <f t="shared" si="69"/>
        <v>1.1186532802676748E-3</v>
      </c>
    </row>
    <row r="342" spans="1:33" x14ac:dyDescent="0.3">
      <c r="A342" s="17">
        <v>45772</v>
      </c>
      <c r="B342">
        <v>99.45</v>
      </c>
      <c r="C342">
        <v>98.85</v>
      </c>
      <c r="D342">
        <v>110.1</v>
      </c>
      <c r="E342">
        <v>109.15</v>
      </c>
      <c r="F342">
        <v>101</v>
      </c>
      <c r="G342">
        <v>100.1</v>
      </c>
      <c r="H342">
        <v>98.15</v>
      </c>
      <c r="I342">
        <v>97.2</v>
      </c>
      <c r="K342">
        <f t="shared" si="65"/>
        <v>2.0253171480013755E-3</v>
      </c>
      <c r="L342">
        <f t="shared" si="66"/>
        <v>0</v>
      </c>
      <c r="M342">
        <f t="shared" si="67"/>
        <v>9.9950033308342321E-4</v>
      </c>
      <c r="N342">
        <f t="shared" si="68"/>
        <v>2.5503711860052885E-3</v>
      </c>
      <c r="AB342">
        <f t="shared" si="60"/>
        <v>-3.7651664389498873E-4</v>
      </c>
      <c r="AC342">
        <f t="shared" si="61"/>
        <v>1.3509989144758971E-3</v>
      </c>
      <c r="AD342">
        <f t="shared" si="62"/>
        <v>1.3614561279354776E-3</v>
      </c>
      <c r="AE342">
        <f t="shared" si="63"/>
        <v>3.4981970056460152E-4</v>
      </c>
      <c r="AF342">
        <f t="shared" si="64"/>
        <v>3.0906002211783604E-4</v>
      </c>
      <c r="AG342">
        <f t="shared" si="69"/>
        <v>1.4996637486783598E-3</v>
      </c>
    </row>
    <row r="343" spans="1:33" x14ac:dyDescent="0.3">
      <c r="A343" s="17">
        <v>45775</v>
      </c>
      <c r="B343">
        <v>99.5</v>
      </c>
      <c r="C343">
        <v>98.9</v>
      </c>
      <c r="D343">
        <v>110.05</v>
      </c>
      <c r="E343">
        <v>109.1</v>
      </c>
      <c r="F343">
        <v>101.15</v>
      </c>
      <c r="G343">
        <v>100.25</v>
      </c>
      <c r="H343">
        <v>98.3</v>
      </c>
      <c r="I343">
        <v>97.35</v>
      </c>
      <c r="K343">
        <f t="shared" si="65"/>
        <v>5.0568901204066049E-4</v>
      </c>
      <c r="L343">
        <f t="shared" si="66"/>
        <v>-4.581901569278979E-4</v>
      </c>
      <c r="M343">
        <f t="shared" si="67"/>
        <v>1.4973798655037813E-3</v>
      </c>
      <c r="N343">
        <f t="shared" si="68"/>
        <v>1.5271064306508044E-3</v>
      </c>
      <c r="AB343">
        <f t="shared" si="60"/>
        <v>1.3859389358544141E-3</v>
      </c>
      <c r="AC343">
        <f t="shared" si="61"/>
        <v>1.0735472729312861E-3</v>
      </c>
      <c r="AD343">
        <f t="shared" si="62"/>
        <v>1.097663864430332E-3</v>
      </c>
      <c r="AE343">
        <f t="shared" si="63"/>
        <v>1.2181989062432176E-3</v>
      </c>
      <c r="AF343">
        <f t="shared" si="64"/>
        <v>1.2359092061565177E-3</v>
      </c>
      <c r="AG343">
        <f t="shared" si="69"/>
        <v>9.9852781367032743E-4</v>
      </c>
    </row>
    <row r="344" spans="1:33" x14ac:dyDescent="0.3">
      <c r="A344" s="17">
        <v>45776</v>
      </c>
      <c r="B344">
        <v>99.65</v>
      </c>
      <c r="C344">
        <v>99.05</v>
      </c>
      <c r="D344">
        <v>110.2</v>
      </c>
      <c r="E344">
        <v>109.25</v>
      </c>
      <c r="F344">
        <v>101.25</v>
      </c>
      <c r="G344">
        <v>100.35</v>
      </c>
      <c r="H344">
        <v>98.4</v>
      </c>
      <c r="I344">
        <v>97.45</v>
      </c>
      <c r="K344">
        <f t="shared" si="65"/>
        <v>1.5155345158934508E-3</v>
      </c>
      <c r="L344">
        <f t="shared" si="66"/>
        <v>1.3739411366744713E-3</v>
      </c>
      <c r="M344">
        <f t="shared" si="67"/>
        <v>9.9700905566847448E-4</v>
      </c>
      <c r="N344">
        <f t="shared" si="68"/>
        <v>1.0167769050870329E-3</v>
      </c>
      <c r="AB344">
        <f t="shared" si="60"/>
        <v>2.0920370660023613E-3</v>
      </c>
      <c r="AC344">
        <f t="shared" si="61"/>
        <v>8.4899664100300423E-4</v>
      </c>
      <c r="AD344">
        <f t="shared" si="62"/>
        <v>8.5101389508460232E-4</v>
      </c>
      <c r="AE344">
        <f t="shared" si="63"/>
        <v>1.752832435878285E-3</v>
      </c>
      <c r="AF344">
        <f t="shared" si="64"/>
        <v>1.7949142555723008E-3</v>
      </c>
      <c r="AG344">
        <f t="shared" si="69"/>
        <v>9.9753172275735078E-4</v>
      </c>
    </row>
    <row r="345" spans="1:33" x14ac:dyDescent="0.3">
      <c r="A345" s="17">
        <v>45777</v>
      </c>
      <c r="B345">
        <v>99.65</v>
      </c>
      <c r="C345">
        <v>99.05</v>
      </c>
      <c r="D345">
        <v>110.45</v>
      </c>
      <c r="E345">
        <v>109.5</v>
      </c>
      <c r="F345">
        <v>101.35</v>
      </c>
      <c r="G345">
        <v>100.45</v>
      </c>
      <c r="H345">
        <v>98.5</v>
      </c>
      <c r="I345">
        <v>97.55</v>
      </c>
      <c r="K345">
        <f t="shared" si="65"/>
        <v>0</v>
      </c>
      <c r="L345">
        <f t="shared" si="66"/>
        <v>2.2857152808560825E-3</v>
      </c>
      <c r="M345">
        <f t="shared" si="67"/>
        <v>9.9601601859632474E-4</v>
      </c>
      <c r="N345">
        <f t="shared" si="68"/>
        <v>1.0157441198354218E-3</v>
      </c>
      <c r="AB345">
        <f t="shared" si="60"/>
        <v>0</v>
      </c>
      <c r="AC345">
        <f t="shared" si="61"/>
        <v>0</v>
      </c>
      <c r="AD345">
        <f t="shared" si="62"/>
        <v>0</v>
      </c>
      <c r="AE345">
        <f t="shared" si="63"/>
        <v>0</v>
      </c>
      <c r="AF345">
        <f t="shared" si="64"/>
        <v>0</v>
      </c>
      <c r="AG345">
        <f t="shared" si="69"/>
        <v>0</v>
      </c>
    </row>
    <row r="346" spans="1:33" x14ac:dyDescent="0.3">
      <c r="A346" s="17">
        <v>45778</v>
      </c>
      <c r="B346">
        <v>99.65</v>
      </c>
      <c r="C346">
        <v>99.05</v>
      </c>
      <c r="D346">
        <v>110.45</v>
      </c>
      <c r="E346">
        <v>109.5</v>
      </c>
      <c r="F346">
        <v>101.35</v>
      </c>
      <c r="G346">
        <v>100.45</v>
      </c>
      <c r="H346">
        <v>98.5</v>
      </c>
      <c r="I346">
        <v>97.55</v>
      </c>
      <c r="K346">
        <f t="shared" si="65"/>
        <v>0</v>
      </c>
      <c r="L346">
        <f t="shared" si="66"/>
        <v>0</v>
      </c>
      <c r="M346">
        <f t="shared" si="67"/>
        <v>0</v>
      </c>
      <c r="N346">
        <f t="shared" si="68"/>
        <v>0</v>
      </c>
      <c r="AB346">
        <f t="shared" si="60"/>
        <v>-4.6080928226095654E-4</v>
      </c>
      <c r="AC346">
        <f t="shared" si="61"/>
        <v>1.1973811429521202E-3</v>
      </c>
      <c r="AD346">
        <f t="shared" si="62"/>
        <v>2.8898729235865943E-3</v>
      </c>
      <c r="AE346">
        <f t="shared" si="63"/>
        <v>3.4852519200481269E-4</v>
      </c>
      <c r="AF346">
        <f t="shared" si="64"/>
        <v>1.090580070517043E-3</v>
      </c>
      <c r="AG346">
        <f t="shared" si="69"/>
        <v>1.6500387702786785E-3</v>
      </c>
    </row>
    <row r="347" spans="1:33" x14ac:dyDescent="0.3">
      <c r="A347" s="17">
        <v>45779</v>
      </c>
      <c r="B347">
        <v>99.6</v>
      </c>
      <c r="C347">
        <v>99</v>
      </c>
      <c r="D347">
        <v>110.4</v>
      </c>
      <c r="E347">
        <v>109.45</v>
      </c>
      <c r="F347">
        <v>101.5</v>
      </c>
      <c r="G347">
        <v>100.6</v>
      </c>
      <c r="H347">
        <v>98.85</v>
      </c>
      <c r="I347">
        <v>97.9</v>
      </c>
      <c r="K347">
        <f t="shared" si="65"/>
        <v>-5.0492300996994957E-4</v>
      </c>
      <c r="L347">
        <f t="shared" si="66"/>
        <v>-4.5672528768358166E-4</v>
      </c>
      <c r="M347">
        <f t="shared" si="67"/>
        <v>1.4921664046952722E-3</v>
      </c>
      <c r="N347">
        <f t="shared" si="68"/>
        <v>3.5470014385826309E-3</v>
      </c>
      <c r="AB347">
        <f t="shared" si="60"/>
        <v>-7.9383905388095229E-4</v>
      </c>
      <c r="AC347">
        <f t="shared" si="61"/>
        <v>-3.4922927486582796E-4</v>
      </c>
      <c r="AD347">
        <f t="shared" si="62"/>
        <v>9.2902858279639126E-4</v>
      </c>
      <c r="AE347">
        <f t="shared" si="63"/>
        <v>-7.4180589258282807E-4</v>
      </c>
      <c r="AF347">
        <f t="shared" si="64"/>
        <v>-1.7005225046558378E-4</v>
      </c>
      <c r="AG347">
        <f t="shared" si="69"/>
        <v>-3.8126198095576251E-4</v>
      </c>
    </row>
    <row r="348" spans="1:33" x14ac:dyDescent="0.3">
      <c r="A348" s="17">
        <v>45782</v>
      </c>
      <c r="B348">
        <v>99.65</v>
      </c>
      <c r="C348">
        <v>99.05</v>
      </c>
      <c r="D348">
        <v>110.3</v>
      </c>
      <c r="E348">
        <v>109.35</v>
      </c>
      <c r="F348">
        <v>101.45</v>
      </c>
      <c r="G348">
        <v>100.55</v>
      </c>
      <c r="H348">
        <v>98.95</v>
      </c>
      <c r="I348">
        <v>98.05</v>
      </c>
      <c r="K348">
        <f t="shared" si="65"/>
        <v>5.0492300997006818E-4</v>
      </c>
      <c r="L348">
        <f t="shared" si="66"/>
        <v>-9.1407684609515422E-4</v>
      </c>
      <c r="M348">
        <f t="shared" si="67"/>
        <v>-4.971414469777571E-4</v>
      </c>
      <c r="N348">
        <f t="shared" si="68"/>
        <v>1.0111224319488893E-3</v>
      </c>
      <c r="AB348">
        <f t="shared" si="60"/>
        <v>2.5503417982120965E-3</v>
      </c>
      <c r="AC348">
        <f t="shared" si="61"/>
        <v>2.613896517700145E-3</v>
      </c>
      <c r="AD348">
        <f t="shared" si="62"/>
        <v>-1.1891885165110905E-3</v>
      </c>
      <c r="AE348">
        <f t="shared" si="63"/>
        <v>2.8386523890446061E-3</v>
      </c>
      <c r="AF348">
        <f t="shared" si="64"/>
        <v>1.0946200157211418E-3</v>
      </c>
      <c r="AG348">
        <f t="shared" si="69"/>
        <v>2.6337052814182429E-3</v>
      </c>
    </row>
    <row r="349" spans="1:33" x14ac:dyDescent="0.3">
      <c r="A349" s="17">
        <v>45783</v>
      </c>
      <c r="B349">
        <v>99.7</v>
      </c>
      <c r="C349">
        <v>99.1</v>
      </c>
      <c r="D349">
        <v>110.6</v>
      </c>
      <c r="E349">
        <v>109.65</v>
      </c>
      <c r="F349">
        <v>101.75</v>
      </c>
      <c r="G349">
        <v>100.85</v>
      </c>
      <c r="H349">
        <v>98.8</v>
      </c>
      <c r="I349">
        <v>97.9</v>
      </c>
      <c r="K349">
        <f t="shared" si="65"/>
        <v>5.0466819138230974E-4</v>
      </c>
      <c r="L349">
        <f t="shared" si="66"/>
        <v>2.7397277411204905E-3</v>
      </c>
      <c r="M349">
        <f t="shared" si="67"/>
        <v>2.9791481815596163E-3</v>
      </c>
      <c r="N349">
        <f t="shared" si="68"/>
        <v>-1.5170672947526886E-3</v>
      </c>
      <c r="AB349">
        <f t="shared" si="60"/>
        <v>-3.7471198349728536E-4</v>
      </c>
      <c r="AC349">
        <f t="shared" si="61"/>
        <v>-3.4825373247251041E-4</v>
      </c>
      <c r="AD349">
        <f t="shared" si="62"/>
        <v>-4.1689563175203925E-3</v>
      </c>
      <c r="AE349">
        <f t="shared" si="63"/>
        <v>-4.7254854141595118E-4</v>
      </c>
      <c r="AF349">
        <f t="shared" si="64"/>
        <v>-2.2405995877885477E-3</v>
      </c>
      <c r="AG349">
        <f t="shared" si="69"/>
        <v>-8.4760970066990072E-4</v>
      </c>
    </row>
    <row r="350" spans="1:33" x14ac:dyDescent="0.3">
      <c r="A350" s="17">
        <v>45784</v>
      </c>
      <c r="B350">
        <v>99.75</v>
      </c>
      <c r="C350">
        <v>99.15</v>
      </c>
      <c r="D350">
        <v>110.55</v>
      </c>
      <c r="E350">
        <v>109.6</v>
      </c>
      <c r="F350">
        <v>101.7</v>
      </c>
      <c r="G350">
        <v>100.8</v>
      </c>
      <c r="H350">
        <v>98.3</v>
      </c>
      <c r="I350">
        <v>97.35</v>
      </c>
      <c r="K350">
        <f t="shared" si="65"/>
        <v>5.044136298627622E-4</v>
      </c>
      <c r="L350">
        <f t="shared" si="66"/>
        <v>-4.5610034998216708E-4</v>
      </c>
      <c r="M350">
        <f t="shared" si="67"/>
        <v>-4.9590876295245608E-4</v>
      </c>
      <c r="N350">
        <f t="shared" si="68"/>
        <v>-5.0735776007012267E-3</v>
      </c>
      <c r="AB350">
        <f t="shared" si="60"/>
        <v>4.1659872465864556E-3</v>
      </c>
      <c r="AC350">
        <f t="shared" si="61"/>
        <v>4.2270893854087777E-4</v>
      </c>
      <c r="AD350">
        <f t="shared" si="62"/>
        <v>2.9777953427554196E-3</v>
      </c>
      <c r="AE350">
        <f t="shared" si="63"/>
        <v>2.8758946901225532E-3</v>
      </c>
      <c r="AF350">
        <f t="shared" si="64"/>
        <v>4.1661830561002915E-3</v>
      </c>
      <c r="AG350">
        <f t="shared" si="69"/>
        <v>7.3087677909210798E-4</v>
      </c>
    </row>
    <row r="351" spans="1:33" x14ac:dyDescent="0.3">
      <c r="A351" s="17">
        <v>45785</v>
      </c>
      <c r="B351">
        <v>99.75</v>
      </c>
      <c r="C351">
        <v>99.15</v>
      </c>
      <c r="D351">
        <v>111.05</v>
      </c>
      <c r="E351">
        <v>110.1</v>
      </c>
      <c r="F351">
        <v>101.75</v>
      </c>
      <c r="G351">
        <v>100.85</v>
      </c>
      <c r="H351">
        <v>98.65</v>
      </c>
      <c r="I351">
        <v>97.7</v>
      </c>
      <c r="K351">
        <f t="shared" si="65"/>
        <v>0</v>
      </c>
      <c r="L351">
        <f t="shared" si="66"/>
        <v>4.5516692147191005E-3</v>
      </c>
      <c r="M351">
        <f t="shared" si="67"/>
        <v>4.9590876295242464E-4</v>
      </c>
      <c r="N351">
        <f t="shared" si="68"/>
        <v>3.5542053155036063E-3</v>
      </c>
      <c r="AB351">
        <f t="shared" si="60"/>
        <v>-4.1659872465864322E-3</v>
      </c>
      <c r="AC351">
        <f t="shared" si="61"/>
        <v>0</v>
      </c>
      <c r="AD351">
        <f t="shared" si="62"/>
        <v>-4.2475190145566544E-4</v>
      </c>
      <c r="AE351">
        <f t="shared" si="63"/>
        <v>-2.6709932218620383E-3</v>
      </c>
      <c r="AF351">
        <f t="shared" si="64"/>
        <v>-2.9885297038601912E-3</v>
      </c>
      <c r="AG351">
        <f t="shared" si="69"/>
        <v>-3.8950420659372974E-5</v>
      </c>
    </row>
    <row r="352" spans="1:33" x14ac:dyDescent="0.3">
      <c r="A352" s="17">
        <v>45786</v>
      </c>
      <c r="B352">
        <v>99.75</v>
      </c>
      <c r="C352">
        <v>99.15</v>
      </c>
      <c r="D352">
        <v>110.55</v>
      </c>
      <c r="E352">
        <v>109.6</v>
      </c>
      <c r="F352">
        <v>101.75</v>
      </c>
      <c r="G352">
        <v>100.85</v>
      </c>
      <c r="H352">
        <v>98.6</v>
      </c>
      <c r="I352">
        <v>97.65</v>
      </c>
      <c r="K352">
        <f t="shared" si="65"/>
        <v>0</v>
      </c>
      <c r="L352">
        <f t="shared" si="66"/>
        <v>-4.5516692147190754E-3</v>
      </c>
      <c r="M352">
        <f t="shared" si="67"/>
        <v>0</v>
      </c>
      <c r="N352">
        <f t="shared" si="68"/>
        <v>-5.0697086003468348E-4</v>
      </c>
      <c r="AB352">
        <f t="shared" si="60"/>
        <v>0</v>
      </c>
      <c r="AC352">
        <f t="shared" si="61"/>
        <v>0</v>
      </c>
      <c r="AD352">
        <f t="shared" si="62"/>
        <v>0</v>
      </c>
      <c r="AE352">
        <f t="shared" si="63"/>
        <v>0</v>
      </c>
      <c r="AF352">
        <f t="shared" si="64"/>
        <v>0</v>
      </c>
      <c r="AG352">
        <f t="shared" si="69"/>
        <v>0</v>
      </c>
    </row>
    <row r="353" spans="1:33" x14ac:dyDescent="0.3">
      <c r="A353" s="17">
        <v>45789</v>
      </c>
      <c r="B353">
        <v>99.75</v>
      </c>
      <c r="C353">
        <v>99.15</v>
      </c>
      <c r="D353">
        <v>110.55</v>
      </c>
      <c r="E353">
        <v>109.6</v>
      </c>
      <c r="F353">
        <v>101.75</v>
      </c>
      <c r="G353">
        <v>100.85</v>
      </c>
      <c r="H353">
        <v>98.6</v>
      </c>
      <c r="I353">
        <v>97.65</v>
      </c>
      <c r="K353">
        <f t="shared" si="65"/>
        <v>0</v>
      </c>
      <c r="L353">
        <f t="shared" si="66"/>
        <v>0</v>
      </c>
      <c r="M353">
        <f t="shared" si="67"/>
        <v>0</v>
      </c>
      <c r="N353">
        <f t="shared" si="68"/>
        <v>0</v>
      </c>
      <c r="AB353">
        <f t="shared" si="60"/>
        <v>0</v>
      </c>
      <c r="AC353">
        <f t="shared" si="61"/>
        <v>0</v>
      </c>
      <c r="AD353">
        <f t="shared" si="62"/>
        <v>0</v>
      </c>
      <c r="AE353">
        <f t="shared" si="63"/>
        <v>0</v>
      </c>
      <c r="AF353">
        <f t="shared" si="64"/>
        <v>0</v>
      </c>
      <c r="AG353">
        <f t="shared" si="69"/>
        <v>0</v>
      </c>
    </row>
    <row r="354" spans="1:33" x14ac:dyDescent="0.3">
      <c r="A354" s="17">
        <v>45790</v>
      </c>
      <c r="B354">
        <v>99.75</v>
      </c>
      <c r="C354">
        <v>99.15</v>
      </c>
      <c r="D354">
        <v>110.55</v>
      </c>
      <c r="E354">
        <v>109.6</v>
      </c>
      <c r="F354">
        <v>101.75</v>
      </c>
      <c r="G354">
        <v>100.85</v>
      </c>
      <c r="H354">
        <v>98.6</v>
      </c>
      <c r="I354">
        <v>97.65</v>
      </c>
      <c r="K354">
        <f t="shared" si="65"/>
        <v>0</v>
      </c>
      <c r="L354">
        <f t="shared" si="66"/>
        <v>0</v>
      </c>
      <c r="M354">
        <f t="shared" si="67"/>
        <v>0</v>
      </c>
      <c r="N354">
        <f t="shared" si="68"/>
        <v>0</v>
      </c>
      <c r="AB354">
        <f t="shared" si="60"/>
        <v>8.3471580604700408E-4</v>
      </c>
      <c r="AC354">
        <f t="shared" si="61"/>
        <v>-8.4562760615949234E-4</v>
      </c>
      <c r="AD354">
        <f t="shared" si="62"/>
        <v>-1.2755492557834716E-3</v>
      </c>
      <c r="AE354">
        <f t="shared" si="63"/>
        <v>1.2526752866517043E-4</v>
      </c>
      <c r="AF354">
        <f t="shared" si="64"/>
        <v>-2.8839784336472086E-5</v>
      </c>
      <c r="AG354">
        <f t="shared" si="69"/>
        <v>-1.0328135063079284E-3</v>
      </c>
    </row>
    <row r="355" spans="1:33" x14ac:dyDescent="0.3">
      <c r="A355" s="17">
        <v>45791</v>
      </c>
      <c r="B355">
        <v>99.75</v>
      </c>
      <c r="C355">
        <v>99.15</v>
      </c>
      <c r="D355">
        <v>110.65</v>
      </c>
      <c r="E355">
        <v>109.7</v>
      </c>
      <c r="F355">
        <v>101.65</v>
      </c>
      <c r="G355">
        <v>100.75</v>
      </c>
      <c r="H355">
        <v>98.45</v>
      </c>
      <c r="I355">
        <v>97.55</v>
      </c>
      <c r="K355">
        <f t="shared" si="65"/>
        <v>0</v>
      </c>
      <c r="L355">
        <f t="shared" si="66"/>
        <v>9.1199276726944278E-4</v>
      </c>
      <c r="M355">
        <f t="shared" si="67"/>
        <v>-9.9206357342836431E-4</v>
      </c>
      <c r="N355">
        <f t="shared" si="68"/>
        <v>-1.5224565234551268E-3</v>
      </c>
      <c r="AB355">
        <f t="shared" si="60"/>
        <v>4.2719528057567984E-5</v>
      </c>
      <c r="AC355">
        <f t="shared" si="61"/>
        <v>-7.7204968687692211E-4</v>
      </c>
      <c r="AD355">
        <f t="shared" si="62"/>
        <v>1.7820641498071717E-3</v>
      </c>
      <c r="AE355">
        <f t="shared" si="63"/>
        <v>-4.1031165465205697E-4</v>
      </c>
      <c r="AF355">
        <f t="shared" si="64"/>
        <v>7.8430524340039262E-4</v>
      </c>
      <c r="AG355">
        <f t="shared" si="69"/>
        <v>-7.6083279770581018E-4</v>
      </c>
    </row>
    <row r="356" spans="1:33" x14ac:dyDescent="0.3">
      <c r="A356" s="17">
        <v>45792</v>
      </c>
      <c r="B356">
        <v>99.8</v>
      </c>
      <c r="C356">
        <v>99.2</v>
      </c>
      <c r="D356">
        <v>110.65</v>
      </c>
      <c r="E356">
        <v>109.7</v>
      </c>
      <c r="F356">
        <v>101.55</v>
      </c>
      <c r="G356">
        <v>100.65</v>
      </c>
      <c r="H356">
        <v>98.65</v>
      </c>
      <c r="I356">
        <v>97.7</v>
      </c>
      <c r="K356">
        <f t="shared" si="65"/>
        <v>5.041593250221301E-4</v>
      </c>
      <c r="L356">
        <f t="shared" si="66"/>
        <v>0</v>
      </c>
      <c r="M356">
        <f t="shared" si="67"/>
        <v>-9.9304874099181506E-4</v>
      </c>
      <c r="N356">
        <f t="shared" si="68"/>
        <v>2.029427383489824E-3</v>
      </c>
      <c r="AB356">
        <f t="shared" si="60"/>
        <v>-7.4934130803624099E-4</v>
      </c>
      <c r="AC356">
        <f t="shared" si="61"/>
        <v>-6.9858589767395735E-4</v>
      </c>
      <c r="AD356">
        <f t="shared" si="62"/>
        <v>1.4363676339267583E-3</v>
      </c>
      <c r="AE356">
        <f t="shared" si="63"/>
        <v>-9.4589164722458873E-4</v>
      </c>
      <c r="AF356">
        <f t="shared" si="64"/>
        <v>2.7647830262653335E-5</v>
      </c>
      <c r="AG356">
        <f t="shared" si="69"/>
        <v>-8.0093146501367075E-4</v>
      </c>
    </row>
    <row r="357" spans="1:33" x14ac:dyDescent="0.3">
      <c r="A357" s="17">
        <v>45793</v>
      </c>
      <c r="B357">
        <v>99.9</v>
      </c>
      <c r="C357">
        <v>99.3</v>
      </c>
      <c r="D357">
        <v>110.55</v>
      </c>
      <c r="E357">
        <v>109.6</v>
      </c>
      <c r="F357">
        <v>101.45</v>
      </c>
      <c r="G357">
        <v>100.55</v>
      </c>
      <c r="H357">
        <v>98.8</v>
      </c>
      <c r="I357">
        <v>97.85</v>
      </c>
      <c r="K357">
        <f t="shared" si="65"/>
        <v>1.0075567602997706E-3</v>
      </c>
      <c r="L357">
        <f t="shared" si="66"/>
        <v>-9.1199276726946197E-4</v>
      </c>
      <c r="M357">
        <f t="shared" si="67"/>
        <v>-9.9403586713952955E-4</v>
      </c>
      <c r="N357">
        <f t="shared" si="68"/>
        <v>1.5193722851976363E-3</v>
      </c>
      <c r="AB357">
        <f t="shared" si="60"/>
        <v>4.6010807315561593E-4</v>
      </c>
      <c r="AC357">
        <f t="shared" si="61"/>
        <v>1.7680814139711986E-3</v>
      </c>
      <c r="AD357">
        <f t="shared" si="62"/>
        <v>8.1639514597689217E-5</v>
      </c>
      <c r="AE357">
        <f t="shared" si="63"/>
        <v>1.0886782469946145E-3</v>
      </c>
      <c r="AF357">
        <f t="shared" si="64"/>
        <v>2.7983294622189173E-4</v>
      </c>
      <c r="AG357">
        <f t="shared" si="69"/>
        <v>1.83441748764405E-3</v>
      </c>
    </row>
    <row r="358" spans="1:33" x14ac:dyDescent="0.3">
      <c r="A358" s="17">
        <v>45796</v>
      </c>
      <c r="B358">
        <v>99.95</v>
      </c>
      <c r="C358">
        <v>99.35</v>
      </c>
      <c r="D358">
        <v>110.6</v>
      </c>
      <c r="E358">
        <v>109.65</v>
      </c>
      <c r="F358">
        <v>101.65</v>
      </c>
      <c r="G358">
        <v>100.75</v>
      </c>
      <c r="H358">
        <v>98.8</v>
      </c>
      <c r="I358">
        <v>97.85</v>
      </c>
      <c r="K358">
        <f t="shared" si="65"/>
        <v>5.0339794669896102E-4</v>
      </c>
      <c r="L358">
        <f t="shared" si="66"/>
        <v>4.5610034998217337E-4</v>
      </c>
      <c r="M358">
        <f t="shared" si="67"/>
        <v>1.9870846081313847E-3</v>
      </c>
      <c r="N358">
        <f t="shared" si="68"/>
        <v>0</v>
      </c>
      <c r="AB358">
        <f t="shared" si="60"/>
        <v>2.4153963242484161E-3</v>
      </c>
      <c r="AC358">
        <f t="shared" si="61"/>
        <v>6.9697961484484151E-4</v>
      </c>
      <c r="AD358">
        <f t="shared" si="62"/>
        <v>2.6057215020826871E-4</v>
      </c>
      <c r="AE358">
        <f t="shared" si="63"/>
        <v>2.0132285413834226E-3</v>
      </c>
      <c r="AF358">
        <f t="shared" si="64"/>
        <v>1.8718533199950987E-3</v>
      </c>
      <c r="AG358">
        <f t="shared" si="69"/>
        <v>9.5471521721736603E-4</v>
      </c>
    </row>
    <row r="359" spans="1:33" x14ac:dyDescent="0.3">
      <c r="A359" s="17">
        <v>45797</v>
      </c>
      <c r="B359">
        <v>99.85</v>
      </c>
      <c r="C359">
        <v>99.25</v>
      </c>
      <c r="D359">
        <v>110.9</v>
      </c>
      <c r="E359">
        <v>109.95</v>
      </c>
      <c r="F359">
        <v>101.8</v>
      </c>
      <c r="G359">
        <v>100.85</v>
      </c>
      <c r="H359">
        <v>98.85</v>
      </c>
      <c r="I359">
        <v>97.9</v>
      </c>
      <c r="K359">
        <f t="shared" si="65"/>
        <v>-1.007049430526058E-3</v>
      </c>
      <c r="L359">
        <f t="shared" si="66"/>
        <v>2.7322421368730716E-3</v>
      </c>
      <c r="M359">
        <f t="shared" si="67"/>
        <v>9.9206357342846948E-4</v>
      </c>
      <c r="N359">
        <f t="shared" si="68"/>
        <v>5.0594486280374949E-4</v>
      </c>
      <c r="AB359">
        <f t="shared" si="60"/>
        <v>-1.3349273725824699E-3</v>
      </c>
      <c r="AC359">
        <f t="shared" si="61"/>
        <v>-1.4879783810553681E-4</v>
      </c>
      <c r="AD359">
        <f t="shared" si="62"/>
        <v>-1.4358056175723783E-3</v>
      </c>
      <c r="AE359">
        <f t="shared" si="63"/>
        <v>-8.0111438752167991E-4</v>
      </c>
      <c r="AF359">
        <f t="shared" si="64"/>
        <v>-1.4244777464108697E-3</v>
      </c>
      <c r="AG359">
        <f t="shared" si="69"/>
        <v>-1.166738312378752E-4</v>
      </c>
    </row>
    <row r="360" spans="1:33" x14ac:dyDescent="0.3">
      <c r="A360" s="17">
        <v>45798</v>
      </c>
      <c r="B360">
        <v>99.75</v>
      </c>
      <c r="C360">
        <v>99.15</v>
      </c>
      <c r="D360">
        <v>110.75</v>
      </c>
      <c r="E360">
        <v>109.8</v>
      </c>
      <c r="F360">
        <v>101.8</v>
      </c>
      <c r="G360">
        <v>100.85</v>
      </c>
      <c r="H360">
        <v>98.7</v>
      </c>
      <c r="I360">
        <v>97.75</v>
      </c>
      <c r="K360">
        <f t="shared" si="65"/>
        <v>-1.008064601494753E-3</v>
      </c>
      <c r="L360">
        <f t="shared" si="66"/>
        <v>-1.3651879253399699E-3</v>
      </c>
      <c r="M360">
        <f t="shared" si="67"/>
        <v>0</v>
      </c>
      <c r="N360">
        <f t="shared" si="68"/>
        <v>-1.518603177189905E-3</v>
      </c>
      <c r="AB360">
        <f t="shared" si="60"/>
        <v>1.2809402606835189E-4</v>
      </c>
      <c r="AC360">
        <f t="shared" si="61"/>
        <v>-2.3162631907103436E-3</v>
      </c>
      <c r="AD360">
        <f t="shared" si="62"/>
        <v>3.2109140275161192E-3</v>
      </c>
      <c r="AE360">
        <f t="shared" si="63"/>
        <v>-1.230935773211453E-3</v>
      </c>
      <c r="AF360">
        <f t="shared" si="64"/>
        <v>1.3680236445727447E-3</v>
      </c>
      <c r="AG360">
        <f t="shared" si="69"/>
        <v>-2.4782972764665458E-3</v>
      </c>
    </row>
    <row r="361" spans="1:33" x14ac:dyDescent="0.3">
      <c r="A361" s="17">
        <v>45799</v>
      </c>
      <c r="B361">
        <v>99.9</v>
      </c>
      <c r="C361">
        <v>99.3</v>
      </c>
      <c r="D361">
        <v>110.75</v>
      </c>
      <c r="E361">
        <v>109.8</v>
      </c>
      <c r="F361">
        <v>101.45</v>
      </c>
      <c r="G361">
        <v>100.55</v>
      </c>
      <c r="H361">
        <v>99.05</v>
      </c>
      <c r="I361">
        <v>98.1</v>
      </c>
      <c r="K361">
        <f t="shared" si="65"/>
        <v>1.5117160853219392E-3</v>
      </c>
      <c r="L361">
        <f t="shared" si="66"/>
        <v>0</v>
      </c>
      <c r="M361">
        <f t="shared" si="67"/>
        <v>-2.9791481815596823E-3</v>
      </c>
      <c r="N361">
        <f t="shared" si="68"/>
        <v>3.5398267051239868E-3</v>
      </c>
      <c r="AB361">
        <f t="shared" si="60"/>
        <v>4.265501328807995E-5</v>
      </c>
      <c r="AC361">
        <f t="shared" si="61"/>
        <v>1.7680814139711986E-3</v>
      </c>
      <c r="AD361">
        <f t="shared" si="62"/>
        <v>-3.413966507526854E-4</v>
      </c>
      <c r="AE361">
        <f t="shared" si="63"/>
        <v>8.2103117383917283E-4</v>
      </c>
      <c r="AF361">
        <f t="shared" si="64"/>
        <v>-1.9513571535235267E-4</v>
      </c>
      <c r="AG361">
        <f t="shared" si="69"/>
        <v>1.7956244026971543E-3</v>
      </c>
    </row>
    <row r="362" spans="1:33" x14ac:dyDescent="0.3">
      <c r="A362" s="17">
        <v>45800</v>
      </c>
      <c r="B362">
        <v>99.95</v>
      </c>
      <c r="C362">
        <v>99.35</v>
      </c>
      <c r="D362">
        <v>110.75</v>
      </c>
      <c r="E362">
        <v>109.8</v>
      </c>
      <c r="F362">
        <v>101.65</v>
      </c>
      <c r="G362">
        <v>100.75</v>
      </c>
      <c r="H362">
        <v>99</v>
      </c>
      <c r="I362">
        <v>98.05</v>
      </c>
      <c r="K362">
        <f t="shared" si="65"/>
        <v>5.0339794669896102E-4</v>
      </c>
      <c r="L362">
        <f t="shared" si="66"/>
        <v>0</v>
      </c>
      <c r="M362">
        <f t="shared" si="67"/>
        <v>1.9870846081313847E-3</v>
      </c>
      <c r="N362">
        <f t="shared" si="68"/>
        <v>-5.0492300996994957E-4</v>
      </c>
      <c r="AB362">
        <f t="shared" si="60"/>
        <v>0</v>
      </c>
      <c r="AC362">
        <f t="shared" si="61"/>
        <v>0</v>
      </c>
      <c r="AD362">
        <f t="shared" si="62"/>
        <v>0</v>
      </c>
      <c r="AE362">
        <f t="shared" si="63"/>
        <v>0</v>
      </c>
      <c r="AF362">
        <f t="shared" si="64"/>
        <v>0</v>
      </c>
      <c r="AG362">
        <f t="shared" si="69"/>
        <v>0</v>
      </c>
    </row>
    <row r="363" spans="1:33" x14ac:dyDescent="0.3">
      <c r="A363" s="17">
        <v>45803</v>
      </c>
      <c r="B363">
        <v>99.95</v>
      </c>
      <c r="C363">
        <v>99.35</v>
      </c>
      <c r="D363">
        <v>110.75</v>
      </c>
      <c r="E363">
        <v>109.8</v>
      </c>
      <c r="F363">
        <v>101.65</v>
      </c>
      <c r="G363">
        <v>100.75</v>
      </c>
      <c r="H363">
        <v>99</v>
      </c>
      <c r="I363">
        <v>98.05</v>
      </c>
      <c r="K363">
        <f t="shared" si="65"/>
        <v>0</v>
      </c>
      <c r="L363">
        <f t="shared" si="66"/>
        <v>0</v>
      </c>
      <c r="M363">
        <f t="shared" si="67"/>
        <v>0</v>
      </c>
      <c r="N363">
        <f t="shared" si="68"/>
        <v>0</v>
      </c>
      <c r="AB363">
        <f t="shared" si="60"/>
        <v>-5.022141487423526E-4</v>
      </c>
      <c r="AC363">
        <f t="shared" si="61"/>
        <v>-1.4186644523828116E-3</v>
      </c>
      <c r="AD363">
        <f t="shared" si="62"/>
        <v>2.5971601829156586E-4</v>
      </c>
      <c r="AE363">
        <f t="shared" si="63"/>
        <v>-8.8290173230080112E-4</v>
      </c>
      <c r="AF363">
        <f t="shared" si="64"/>
        <v>-8.4314858349377895E-5</v>
      </c>
      <c r="AG363">
        <f t="shared" si="69"/>
        <v>-1.3366781854918862E-3</v>
      </c>
    </row>
    <row r="364" spans="1:33" x14ac:dyDescent="0.3">
      <c r="A364" s="17">
        <v>45804</v>
      </c>
      <c r="B364">
        <v>99.85</v>
      </c>
      <c r="C364">
        <v>99.25</v>
      </c>
      <c r="D364">
        <v>110.7</v>
      </c>
      <c r="E364">
        <v>109.75</v>
      </c>
      <c r="F364">
        <v>101.5</v>
      </c>
      <c r="G364">
        <v>100.6</v>
      </c>
      <c r="H364">
        <v>99.05</v>
      </c>
      <c r="I364">
        <v>98.1</v>
      </c>
      <c r="K364">
        <f t="shared" si="65"/>
        <v>-1.007049430526058E-3</v>
      </c>
      <c r="L364">
        <f t="shared" si="66"/>
        <v>-4.5547712014950778E-4</v>
      </c>
      <c r="M364">
        <f t="shared" si="67"/>
        <v>-1.489943161153612E-3</v>
      </c>
      <c r="N364">
        <f t="shared" si="68"/>
        <v>5.0492300997006818E-4</v>
      </c>
      <c r="AB364">
        <f t="shared" si="60"/>
        <v>-9.6249395800654587E-4</v>
      </c>
      <c r="AC364">
        <f t="shared" si="61"/>
        <v>2.0029606123602581E-4</v>
      </c>
      <c r="AD364">
        <f t="shared" si="62"/>
        <v>-2.4528901926856774E-4</v>
      </c>
      <c r="AE364">
        <f t="shared" si="63"/>
        <v>-3.2961947684057686E-4</v>
      </c>
      <c r="AF364">
        <f t="shared" si="64"/>
        <v>-5.5928328754884914E-4</v>
      </c>
      <c r="AG364">
        <f t="shared" si="69"/>
        <v>4.5871816938616893E-4</v>
      </c>
    </row>
    <row r="365" spans="1:33" x14ac:dyDescent="0.3">
      <c r="A365" s="17">
        <v>45805</v>
      </c>
      <c r="B365">
        <v>99.7</v>
      </c>
      <c r="C365">
        <v>99.1</v>
      </c>
      <c r="D365">
        <v>110.6</v>
      </c>
      <c r="E365">
        <v>109.65</v>
      </c>
      <c r="F365">
        <v>101.55</v>
      </c>
      <c r="G365">
        <v>100.65</v>
      </c>
      <c r="H365">
        <v>99.05</v>
      </c>
      <c r="I365">
        <v>98.1</v>
      </c>
      <c r="K365">
        <f t="shared" si="65"/>
        <v>-1.5124782313575135E-3</v>
      </c>
      <c r="L365">
        <f t="shared" si="66"/>
        <v>-9.1157709138343966E-4</v>
      </c>
      <c r="M365">
        <f t="shared" si="67"/>
        <v>4.968944201617485E-4</v>
      </c>
      <c r="N365">
        <f t="shared" si="68"/>
        <v>0</v>
      </c>
      <c r="AB365">
        <f t="shared" si="60"/>
        <v>0</v>
      </c>
      <c r="AC365">
        <f t="shared" si="61"/>
        <v>0</v>
      </c>
      <c r="AD365">
        <f t="shared" si="62"/>
        <v>0</v>
      </c>
      <c r="AE365">
        <f t="shared" si="63"/>
        <v>0</v>
      </c>
      <c r="AF365">
        <f t="shared" si="64"/>
        <v>0</v>
      </c>
      <c r="AG365">
        <f t="shared" si="69"/>
        <v>0</v>
      </c>
    </row>
    <row r="366" spans="1:33" x14ac:dyDescent="0.3">
      <c r="A366" s="17">
        <v>45806</v>
      </c>
      <c r="B366">
        <v>99.7</v>
      </c>
      <c r="C366">
        <v>99.1</v>
      </c>
      <c r="D366">
        <v>110.6</v>
      </c>
      <c r="E366">
        <v>109.65</v>
      </c>
      <c r="F366">
        <v>101.55</v>
      </c>
      <c r="G366">
        <v>100.65</v>
      </c>
      <c r="H366">
        <v>99.05</v>
      </c>
      <c r="I366">
        <v>98.1</v>
      </c>
      <c r="K366">
        <f t="shared" si="65"/>
        <v>0</v>
      </c>
      <c r="L366">
        <f t="shared" si="66"/>
        <v>0</v>
      </c>
      <c r="M366">
        <f t="shared" si="67"/>
        <v>0</v>
      </c>
      <c r="N366">
        <f t="shared" si="68"/>
        <v>0</v>
      </c>
      <c r="AB366">
        <f t="shared" si="60"/>
        <v>0</v>
      </c>
      <c r="AC366">
        <f t="shared" si="61"/>
        <v>0</v>
      </c>
      <c r="AD366">
        <f t="shared" si="62"/>
        <v>0</v>
      </c>
      <c r="AE366">
        <f t="shared" si="63"/>
        <v>0</v>
      </c>
      <c r="AF366">
        <f t="shared" si="64"/>
        <v>0</v>
      </c>
      <c r="AG366">
        <f t="shared" si="69"/>
        <v>0</v>
      </c>
    </row>
    <row r="367" spans="1:33" x14ac:dyDescent="0.3">
      <c r="A367" s="17">
        <v>45807</v>
      </c>
      <c r="B367">
        <v>99.7</v>
      </c>
      <c r="C367">
        <v>99.1</v>
      </c>
      <c r="D367">
        <v>110.6</v>
      </c>
      <c r="E367">
        <v>109.65</v>
      </c>
      <c r="F367">
        <v>101.55</v>
      </c>
      <c r="G367">
        <v>100.65</v>
      </c>
      <c r="H367">
        <v>99.05</v>
      </c>
      <c r="I367">
        <v>98.1</v>
      </c>
      <c r="K367">
        <f t="shared" si="65"/>
        <v>0</v>
      </c>
      <c r="L367">
        <f t="shared" si="66"/>
        <v>0</v>
      </c>
      <c r="M367">
        <f t="shared" si="67"/>
        <v>0</v>
      </c>
      <c r="N367">
        <f t="shared" si="68"/>
        <v>0</v>
      </c>
      <c r="AB367">
        <f t="shared" si="60"/>
        <v>1.7960694417562852E-3</v>
      </c>
      <c r="AC367">
        <f t="shared" si="61"/>
        <v>1.0697203998320374E-3</v>
      </c>
      <c r="AD367">
        <f t="shared" si="62"/>
        <v>2.4528901926856866E-4</v>
      </c>
      <c r="AE367">
        <f t="shared" si="63"/>
        <v>1.47968087581838E-3</v>
      </c>
      <c r="AF367">
        <f t="shared" si="64"/>
        <v>1.1180572095559019E-3</v>
      </c>
      <c r="AG367">
        <f t="shared" si="69"/>
        <v>9.1675310105261254E-4</v>
      </c>
    </row>
    <row r="368" spans="1:33" x14ac:dyDescent="0.3">
      <c r="A368" s="17">
        <v>45810</v>
      </c>
      <c r="B368">
        <v>99.85</v>
      </c>
      <c r="C368">
        <v>99.25</v>
      </c>
      <c r="D368">
        <v>110.8</v>
      </c>
      <c r="E368">
        <v>109.85</v>
      </c>
      <c r="F368">
        <v>101.65</v>
      </c>
      <c r="G368">
        <v>100.75</v>
      </c>
      <c r="H368">
        <v>99.05</v>
      </c>
      <c r="I368">
        <v>98.15</v>
      </c>
      <c r="K368">
        <f t="shared" si="65"/>
        <v>1.5124782313575191E-3</v>
      </c>
      <c r="L368">
        <f t="shared" si="66"/>
        <v>1.8223239667218467E-3</v>
      </c>
      <c r="M368">
        <f t="shared" si="67"/>
        <v>9.9304874099185323E-4</v>
      </c>
      <c r="N368">
        <f t="shared" si="68"/>
        <v>0</v>
      </c>
      <c r="AB368">
        <f t="shared" si="60"/>
        <v>4.2676496549265419E-5</v>
      </c>
      <c r="AC368">
        <f t="shared" si="61"/>
        <v>7.4342707640950829E-5</v>
      </c>
      <c r="AD368">
        <f t="shared" si="62"/>
        <v>8.1680632461217056E-5</v>
      </c>
      <c r="AE368">
        <f t="shared" si="63"/>
        <v>0</v>
      </c>
      <c r="AF368">
        <f t="shared" si="64"/>
        <v>0</v>
      </c>
      <c r="AG368">
        <f t="shared" si="69"/>
        <v>0</v>
      </c>
    </row>
    <row r="369" spans="1:33" x14ac:dyDescent="0.3">
      <c r="A369" s="17">
        <v>45811</v>
      </c>
      <c r="B369">
        <v>99.9</v>
      </c>
      <c r="C369">
        <v>99.3</v>
      </c>
      <c r="D369">
        <v>110.8</v>
      </c>
      <c r="E369">
        <v>109.85</v>
      </c>
      <c r="F369">
        <v>101.65</v>
      </c>
      <c r="G369">
        <v>100.75</v>
      </c>
      <c r="H369">
        <v>99.05</v>
      </c>
      <c r="I369">
        <v>98.15</v>
      </c>
      <c r="K369">
        <f t="shared" si="65"/>
        <v>5.0365148382708531E-4</v>
      </c>
      <c r="L369">
        <f t="shared" si="66"/>
        <v>0</v>
      </c>
      <c r="M369">
        <f t="shared" si="67"/>
        <v>0</v>
      </c>
      <c r="N369">
        <f t="shared" si="68"/>
        <v>0</v>
      </c>
      <c r="AB369">
        <f t="shared" si="60"/>
        <v>4.265501328807995E-5</v>
      </c>
      <c r="AC369">
        <f t="shared" si="61"/>
        <v>4.972239512923733E-4</v>
      </c>
      <c r="AD369">
        <f t="shared" si="62"/>
        <v>-3.413966507526854E-4</v>
      </c>
      <c r="AE369">
        <f t="shared" si="63"/>
        <v>2.0500313111179339E-4</v>
      </c>
      <c r="AF369">
        <f t="shared" si="64"/>
        <v>-1.9513571535235267E-4</v>
      </c>
      <c r="AG369">
        <f t="shared" si="69"/>
        <v>4.1924229874600684E-4</v>
      </c>
    </row>
    <row r="370" spans="1:33" x14ac:dyDescent="0.3">
      <c r="A370" s="17">
        <v>45812</v>
      </c>
      <c r="B370">
        <v>99.95</v>
      </c>
      <c r="C370">
        <v>99.35</v>
      </c>
      <c r="D370">
        <v>110.8</v>
      </c>
      <c r="E370">
        <v>109.85</v>
      </c>
      <c r="F370">
        <v>101.7</v>
      </c>
      <c r="G370">
        <v>100.8</v>
      </c>
      <c r="H370">
        <v>99</v>
      </c>
      <c r="I370">
        <v>98.05</v>
      </c>
      <c r="K370">
        <f t="shared" si="65"/>
        <v>5.0339794669896102E-4</v>
      </c>
      <c r="L370">
        <f t="shared" si="66"/>
        <v>0</v>
      </c>
      <c r="M370">
        <f t="shared" si="67"/>
        <v>4.9615481047590531E-4</v>
      </c>
      <c r="N370">
        <f t="shared" si="68"/>
        <v>-5.0492300996994957E-4</v>
      </c>
      <c r="AB370">
        <f t="shared" si="60"/>
        <v>1.6648768899707887E-3</v>
      </c>
      <c r="AC370">
        <f t="shared" si="61"/>
        <v>4.2270893854087777E-4</v>
      </c>
      <c r="AD370">
        <f t="shared" si="62"/>
        <v>2.1130480498888441E-3</v>
      </c>
      <c r="AE370">
        <f t="shared" si="63"/>
        <v>1.2723254965002534E-3</v>
      </c>
      <c r="AF370">
        <f t="shared" si="64"/>
        <v>2.0907182342944143E-3</v>
      </c>
      <c r="AG370">
        <f t="shared" si="69"/>
        <v>6.515780856530093E-4</v>
      </c>
    </row>
    <row r="371" spans="1:33" x14ac:dyDescent="0.3">
      <c r="A371" s="17">
        <v>45813</v>
      </c>
      <c r="B371">
        <v>99.95</v>
      </c>
      <c r="C371">
        <v>99.35</v>
      </c>
      <c r="D371">
        <v>111</v>
      </c>
      <c r="E371">
        <v>110.05</v>
      </c>
      <c r="F371">
        <v>101.75</v>
      </c>
      <c r="G371">
        <v>100.85</v>
      </c>
      <c r="H371">
        <v>99.25</v>
      </c>
      <c r="I371">
        <v>98.3</v>
      </c>
      <c r="K371">
        <f t="shared" si="65"/>
        <v>0</v>
      </c>
      <c r="L371">
        <f t="shared" si="66"/>
        <v>1.8190091418514513E-3</v>
      </c>
      <c r="M371">
        <f t="shared" si="67"/>
        <v>4.9590876295242464E-4</v>
      </c>
      <c r="N371">
        <f t="shared" si="68"/>
        <v>2.5220694327099391E-3</v>
      </c>
      <c r="AB371">
        <f t="shared" si="60"/>
        <v>0</v>
      </c>
      <c r="AC371">
        <f t="shared" si="61"/>
        <v>0</v>
      </c>
      <c r="AD371">
        <f t="shared" si="62"/>
        <v>0</v>
      </c>
      <c r="AE371">
        <f t="shared" si="63"/>
        <v>0</v>
      </c>
      <c r="AF371">
        <f t="shared" si="64"/>
        <v>0</v>
      </c>
      <c r="AG371">
        <f t="shared" si="69"/>
        <v>0</v>
      </c>
    </row>
    <row r="372" spans="1:33" x14ac:dyDescent="0.3">
      <c r="A372" s="17">
        <v>45814</v>
      </c>
      <c r="B372">
        <v>99.95</v>
      </c>
      <c r="C372">
        <v>99.35</v>
      </c>
      <c r="D372">
        <v>111</v>
      </c>
      <c r="E372">
        <v>110.05</v>
      </c>
      <c r="F372">
        <v>101.75</v>
      </c>
      <c r="G372">
        <v>100.85</v>
      </c>
      <c r="H372">
        <v>99.25</v>
      </c>
      <c r="I372">
        <v>98.3</v>
      </c>
      <c r="K372">
        <f t="shared" si="65"/>
        <v>0</v>
      </c>
      <c r="L372">
        <f t="shared" si="66"/>
        <v>0</v>
      </c>
      <c r="M372">
        <f t="shared" si="67"/>
        <v>0</v>
      </c>
      <c r="N372">
        <f t="shared" si="68"/>
        <v>0</v>
      </c>
      <c r="AB372">
        <f t="shared" si="60"/>
        <v>0</v>
      </c>
      <c r="AC372">
        <f t="shared" si="61"/>
        <v>0</v>
      </c>
      <c r="AD372">
        <f t="shared" si="62"/>
        <v>0</v>
      </c>
      <c r="AE372">
        <f t="shared" si="63"/>
        <v>0</v>
      </c>
      <c r="AF372">
        <f t="shared" si="64"/>
        <v>0</v>
      </c>
      <c r="AG372">
        <f t="shared" si="69"/>
        <v>0</v>
      </c>
    </row>
    <row r="373" spans="1:33" x14ac:dyDescent="0.3">
      <c r="A373" s="17">
        <v>45817</v>
      </c>
      <c r="B373">
        <v>99.95</v>
      </c>
      <c r="C373">
        <v>99.35</v>
      </c>
      <c r="D373">
        <v>111</v>
      </c>
      <c r="E373">
        <v>110.05</v>
      </c>
      <c r="F373">
        <v>101.75</v>
      </c>
      <c r="G373">
        <v>100.85</v>
      </c>
      <c r="H373">
        <v>99.25</v>
      </c>
      <c r="I373">
        <v>98.3</v>
      </c>
      <c r="K373">
        <f t="shared" si="65"/>
        <v>0</v>
      </c>
      <c r="L373">
        <f t="shared" si="66"/>
        <v>0</v>
      </c>
      <c r="M373">
        <f t="shared" si="67"/>
        <v>0</v>
      </c>
      <c r="N373">
        <f t="shared" si="68"/>
        <v>0</v>
      </c>
      <c r="AB373">
        <f t="shared" si="60"/>
        <v>2.2781606550974273E-3</v>
      </c>
      <c r="AC373">
        <f t="shared" si="61"/>
        <v>5.0598381884709191E-5</v>
      </c>
      <c r="AD373">
        <f t="shared" si="62"/>
        <v>-4.0860916632748026E-4</v>
      </c>
      <c r="AE373">
        <f t="shared" si="63"/>
        <v>1.802304153370141E-3</v>
      </c>
      <c r="AF373">
        <f t="shared" si="64"/>
        <v>1.670238029581102E-3</v>
      </c>
      <c r="AG373">
        <f t="shared" si="69"/>
        <v>4.5758132133617266E-4</v>
      </c>
    </row>
    <row r="374" spans="1:33" x14ac:dyDescent="0.3">
      <c r="A374" s="17">
        <v>45818</v>
      </c>
      <c r="B374">
        <v>99.7</v>
      </c>
      <c r="C374">
        <v>99.1</v>
      </c>
      <c r="D374">
        <v>111.3</v>
      </c>
      <c r="E374">
        <v>110.35</v>
      </c>
      <c r="F374">
        <v>101.8</v>
      </c>
      <c r="G374">
        <v>100.9</v>
      </c>
      <c r="H374">
        <v>99.25</v>
      </c>
      <c r="I374">
        <v>98.3</v>
      </c>
      <c r="K374">
        <f t="shared" si="65"/>
        <v>-2.519527661883598E-3</v>
      </c>
      <c r="L374">
        <f t="shared" si="66"/>
        <v>2.7223247302746649E-3</v>
      </c>
      <c r="M374">
        <f t="shared" si="67"/>
        <v>4.9566295934263421E-4</v>
      </c>
      <c r="N374">
        <f t="shared" si="68"/>
        <v>0</v>
      </c>
      <c r="AB374">
        <f t="shared" si="60"/>
        <v>4.2741076370244902E-5</v>
      </c>
      <c r="AC374">
        <f t="shared" si="61"/>
        <v>-3.4804421130492645E-4</v>
      </c>
      <c r="AD374">
        <f t="shared" si="62"/>
        <v>2.610447324434237E-3</v>
      </c>
      <c r="AE374">
        <f t="shared" si="63"/>
        <v>-2.0479990619036201E-4</v>
      </c>
      <c r="AF374">
        <f t="shared" si="64"/>
        <v>1.1663980967943795E-3</v>
      </c>
      <c r="AG374">
        <f t="shared" si="69"/>
        <v>-2.2570075365458908E-4</v>
      </c>
    </row>
    <row r="375" spans="1:33" x14ac:dyDescent="0.3">
      <c r="A375" s="17">
        <v>45819</v>
      </c>
      <c r="B375">
        <v>99.75</v>
      </c>
      <c r="C375">
        <v>99.15</v>
      </c>
      <c r="D375">
        <v>111.3</v>
      </c>
      <c r="E375">
        <v>110.35</v>
      </c>
      <c r="F375">
        <v>101.75</v>
      </c>
      <c r="G375">
        <v>100.85</v>
      </c>
      <c r="H375">
        <v>99.55</v>
      </c>
      <c r="I375">
        <v>98.6</v>
      </c>
      <c r="K375">
        <f t="shared" si="65"/>
        <v>5.044136298627622E-4</v>
      </c>
      <c r="L375">
        <f t="shared" si="66"/>
        <v>0</v>
      </c>
      <c r="M375">
        <f t="shared" si="67"/>
        <v>-4.9566295934255951E-4</v>
      </c>
      <c r="N375">
        <f t="shared" si="68"/>
        <v>3.0181109429055532E-3</v>
      </c>
      <c r="AB375">
        <f t="shared" si="60"/>
        <v>4.0659585488828044E-3</v>
      </c>
      <c r="AC375">
        <f t="shared" si="61"/>
        <v>1.8611639954907101E-3</v>
      </c>
      <c r="AD375">
        <f t="shared" si="62"/>
        <v>1.9144180318978123E-3</v>
      </c>
      <c r="AE375">
        <f t="shared" si="63"/>
        <v>3.0022270506573747E-3</v>
      </c>
      <c r="AF375">
        <f t="shared" si="64"/>
        <v>3.0787439519192215E-3</v>
      </c>
      <c r="AG375">
        <f t="shared" si="69"/>
        <v>1.4877424775721077E-3</v>
      </c>
    </row>
    <row r="376" spans="1:33" x14ac:dyDescent="0.3">
      <c r="A376" s="17">
        <v>45820</v>
      </c>
      <c r="B376">
        <v>100.15</v>
      </c>
      <c r="C376">
        <v>99.55</v>
      </c>
      <c r="D376">
        <v>111.75</v>
      </c>
      <c r="E376">
        <v>110.8</v>
      </c>
      <c r="F376">
        <v>101.9</v>
      </c>
      <c r="G376">
        <v>101</v>
      </c>
      <c r="H376">
        <v>99.7</v>
      </c>
      <c r="I376">
        <v>98.75</v>
      </c>
      <c r="K376">
        <f t="shared" si="65"/>
        <v>4.0261755444001316E-3</v>
      </c>
      <c r="L376">
        <f t="shared" si="66"/>
        <v>4.0696416104379447E-3</v>
      </c>
      <c r="M376">
        <f t="shared" si="67"/>
        <v>1.4862524410386502E-3</v>
      </c>
      <c r="N376">
        <f t="shared" si="68"/>
        <v>1.5056464575874356E-3</v>
      </c>
      <c r="AB376">
        <f t="shared" si="60"/>
        <v>-4.256929610126609E-5</v>
      </c>
      <c r="AC376">
        <f t="shared" si="61"/>
        <v>-7.4155963830914939E-5</v>
      </c>
      <c r="AD376">
        <f t="shared" si="62"/>
        <v>-1.342940850442593E-3</v>
      </c>
      <c r="AE376">
        <f t="shared" si="63"/>
        <v>0</v>
      </c>
      <c r="AF376">
        <f t="shared" si="64"/>
        <v>-5.818815795036763E-4</v>
      </c>
      <c r="AG376">
        <f t="shared" si="69"/>
        <v>-1.1567837031760407E-4</v>
      </c>
    </row>
    <row r="377" spans="1:33" x14ac:dyDescent="0.3">
      <c r="A377" s="17">
        <v>45821</v>
      </c>
      <c r="B377">
        <v>100.1</v>
      </c>
      <c r="C377">
        <v>99.5</v>
      </c>
      <c r="D377">
        <v>111.75</v>
      </c>
      <c r="E377">
        <v>110.8</v>
      </c>
      <c r="F377">
        <v>101.9</v>
      </c>
      <c r="G377">
        <v>101</v>
      </c>
      <c r="H377">
        <v>99.55</v>
      </c>
      <c r="I377">
        <v>98.6</v>
      </c>
      <c r="K377">
        <f t="shared" si="65"/>
        <v>-5.0238634565812935E-4</v>
      </c>
      <c r="L377">
        <f t="shared" si="66"/>
        <v>0</v>
      </c>
      <c r="M377">
        <f t="shared" si="67"/>
        <v>0</v>
      </c>
      <c r="N377">
        <f t="shared" si="68"/>
        <v>-1.5056464575874601E-3</v>
      </c>
      <c r="AB377">
        <f t="shared" si="60"/>
        <v>-2.0248944650682007E-3</v>
      </c>
      <c r="AC377">
        <f t="shared" si="61"/>
        <v>-1.1927145548808486E-3</v>
      </c>
      <c r="AD377">
        <f t="shared" si="62"/>
        <v>-7.6055788863847707E-4</v>
      </c>
      <c r="AE377">
        <f t="shared" si="63"/>
        <v>-1.9396351845403584E-3</v>
      </c>
      <c r="AF377">
        <f t="shared" si="64"/>
        <v>-1.7742994387246567E-3</v>
      </c>
      <c r="AG377">
        <f t="shared" si="69"/>
        <v>-1.4492798957691229E-3</v>
      </c>
    </row>
    <row r="378" spans="1:33" x14ac:dyDescent="0.3">
      <c r="A378" s="17">
        <v>45824</v>
      </c>
      <c r="B378">
        <v>100.15</v>
      </c>
      <c r="C378">
        <v>99.55</v>
      </c>
      <c r="D378">
        <v>111.5</v>
      </c>
      <c r="E378">
        <v>110.55</v>
      </c>
      <c r="F378">
        <v>101.75</v>
      </c>
      <c r="G378">
        <v>100.85</v>
      </c>
      <c r="H378">
        <v>99.45</v>
      </c>
      <c r="I378">
        <v>98.5</v>
      </c>
      <c r="K378">
        <f t="shared" si="65"/>
        <v>5.0238634565811374E-4</v>
      </c>
      <c r="L378">
        <f t="shared" si="66"/>
        <v>-2.2588670097281652E-3</v>
      </c>
      <c r="M378">
        <f t="shared" si="67"/>
        <v>-1.4862524410386732E-3</v>
      </c>
      <c r="N378">
        <f t="shared" si="68"/>
        <v>-1.0050252102240388E-3</v>
      </c>
      <c r="AB378">
        <f t="shared" si="60"/>
        <v>4.2547920606477306E-5</v>
      </c>
      <c r="AC378">
        <f t="shared" si="61"/>
        <v>7.4118727593448054E-5</v>
      </c>
      <c r="AD378">
        <f t="shared" si="62"/>
        <v>-3.3989968983478988E-4</v>
      </c>
      <c r="AE378">
        <f t="shared" si="63"/>
        <v>0</v>
      </c>
      <c r="AF378">
        <f t="shared" si="64"/>
        <v>-1.9435065838041047E-4</v>
      </c>
      <c r="AG378">
        <f t="shared" si="69"/>
        <v>-3.8637015199511473E-5</v>
      </c>
    </row>
    <row r="379" spans="1:33" x14ac:dyDescent="0.3">
      <c r="A379" s="17">
        <v>45825</v>
      </c>
      <c r="B379">
        <v>100.2</v>
      </c>
      <c r="C379">
        <v>99.6</v>
      </c>
      <c r="D379">
        <v>111.5</v>
      </c>
      <c r="E379">
        <v>110.55</v>
      </c>
      <c r="F379">
        <v>101.75</v>
      </c>
      <c r="G379">
        <v>100.85</v>
      </c>
      <c r="H379">
        <v>99.4</v>
      </c>
      <c r="I379">
        <v>98.45</v>
      </c>
      <c r="K379">
        <f t="shared" si="65"/>
        <v>5.0213408034728124E-4</v>
      </c>
      <c r="L379">
        <f t="shared" si="66"/>
        <v>0</v>
      </c>
      <c r="M379">
        <f t="shared" si="67"/>
        <v>0</v>
      </c>
      <c r="N379">
        <f t="shared" si="68"/>
        <v>-5.02891637452852E-4</v>
      </c>
      <c r="AB379">
        <f t="shared" si="60"/>
        <v>-4.1405375865277244E-4</v>
      </c>
      <c r="AC379">
        <f t="shared" si="61"/>
        <v>0</v>
      </c>
      <c r="AD379">
        <f t="shared" si="62"/>
        <v>-3.3783235599478337E-3</v>
      </c>
      <c r="AE379">
        <f t="shared" si="63"/>
        <v>-2.6546763525362376E-4</v>
      </c>
      <c r="AF379">
        <f t="shared" si="64"/>
        <v>-1.835888148984953E-3</v>
      </c>
      <c r="AG379">
        <f t="shared" si="69"/>
        <v>-3.097976096928039E-4</v>
      </c>
    </row>
    <row r="380" spans="1:33" x14ac:dyDescent="0.3">
      <c r="A380" s="17">
        <v>45826</v>
      </c>
      <c r="B380">
        <v>100.2</v>
      </c>
      <c r="C380">
        <v>99.6</v>
      </c>
      <c r="D380">
        <v>111.45</v>
      </c>
      <c r="E380">
        <v>110.5</v>
      </c>
      <c r="F380">
        <v>101.75</v>
      </c>
      <c r="G380">
        <v>100.85</v>
      </c>
      <c r="H380">
        <v>99</v>
      </c>
      <c r="I380">
        <v>98.05</v>
      </c>
      <c r="K380">
        <f t="shared" si="65"/>
        <v>0</v>
      </c>
      <c r="L380">
        <f t="shared" si="66"/>
        <v>-4.5238634564779277E-4</v>
      </c>
      <c r="M380">
        <f t="shared" si="67"/>
        <v>0</v>
      </c>
      <c r="N380">
        <f t="shared" si="68"/>
        <v>-4.0322635279384511E-3</v>
      </c>
      <c r="AB380">
        <f t="shared" si="60"/>
        <v>0</v>
      </c>
      <c r="AC380">
        <f t="shared" si="61"/>
        <v>0</v>
      </c>
      <c r="AD380">
        <f t="shared" si="62"/>
        <v>0</v>
      </c>
      <c r="AE380">
        <f t="shared" si="63"/>
        <v>0</v>
      </c>
      <c r="AF380">
        <f t="shared" si="64"/>
        <v>0</v>
      </c>
      <c r="AG380">
        <f t="shared" si="69"/>
        <v>0</v>
      </c>
    </row>
    <row r="381" spans="1:33" x14ac:dyDescent="0.3">
      <c r="A381" s="17">
        <v>45827</v>
      </c>
      <c r="B381">
        <v>100.2</v>
      </c>
      <c r="C381">
        <v>99.6</v>
      </c>
      <c r="D381">
        <v>111.45</v>
      </c>
      <c r="E381">
        <v>110.5</v>
      </c>
      <c r="F381">
        <v>101.75</v>
      </c>
      <c r="G381">
        <v>100.85</v>
      </c>
      <c r="H381">
        <v>99</v>
      </c>
      <c r="I381">
        <v>98.05</v>
      </c>
      <c r="K381">
        <f t="shared" si="65"/>
        <v>0</v>
      </c>
      <c r="L381">
        <f t="shared" si="66"/>
        <v>0</v>
      </c>
      <c r="M381">
        <f t="shared" si="67"/>
        <v>0</v>
      </c>
      <c r="N381">
        <f t="shared" si="68"/>
        <v>0</v>
      </c>
      <c r="AB381">
        <f t="shared" si="60"/>
        <v>-9.9898989952868725E-4</v>
      </c>
      <c r="AC381">
        <f t="shared" si="61"/>
        <v>-2.4123425448137545E-3</v>
      </c>
      <c r="AD381">
        <f t="shared" si="62"/>
        <v>-3.2598381291900079E-4</v>
      </c>
      <c r="AE381">
        <f t="shared" si="63"/>
        <v>-1.5568208040576544E-3</v>
      </c>
      <c r="AF381">
        <f t="shared" si="64"/>
        <v>-5.5548552817212581E-4</v>
      </c>
      <c r="AG381">
        <f t="shared" si="69"/>
        <v>-2.2913148940593344E-3</v>
      </c>
    </row>
    <row r="382" spans="1:33" x14ac:dyDescent="0.3">
      <c r="A382" s="17">
        <v>45828</v>
      </c>
      <c r="B382">
        <v>100</v>
      </c>
      <c r="C382">
        <v>99.4</v>
      </c>
      <c r="D382">
        <v>111.35</v>
      </c>
      <c r="E382">
        <v>110.4</v>
      </c>
      <c r="F382">
        <v>101.5</v>
      </c>
      <c r="G382">
        <v>100.6</v>
      </c>
      <c r="H382">
        <v>99</v>
      </c>
      <c r="I382">
        <v>98.05</v>
      </c>
      <c r="K382">
        <f t="shared" si="65"/>
        <v>-2.0100509280241118E-3</v>
      </c>
      <c r="L382">
        <f t="shared" si="66"/>
        <v>-9.0538711481256778E-4</v>
      </c>
      <c r="M382">
        <f t="shared" si="67"/>
        <v>-2.4820067345819852E-3</v>
      </c>
      <c r="N382">
        <f t="shared" si="68"/>
        <v>0</v>
      </c>
      <c r="AB382">
        <f t="shared" si="60"/>
        <v>-4.5725001078212403E-4</v>
      </c>
      <c r="AC382">
        <f t="shared" si="61"/>
        <v>-7.426789736597806E-5</v>
      </c>
      <c r="AD382">
        <f t="shared" si="62"/>
        <v>-3.8985668061892464E-3</v>
      </c>
      <c r="AE382">
        <f t="shared" si="63"/>
        <v>-2.6582840668424386E-4</v>
      </c>
      <c r="AF382">
        <f t="shared" si="64"/>
        <v>-2.0386009274901704E-3</v>
      </c>
      <c r="AG382">
        <f t="shared" si="69"/>
        <v>-3.5002203185122171E-4</v>
      </c>
    </row>
    <row r="383" spans="1:33" x14ac:dyDescent="0.3">
      <c r="A383" s="17">
        <v>45831</v>
      </c>
      <c r="B383">
        <v>99.95</v>
      </c>
      <c r="C383">
        <v>99.35</v>
      </c>
      <c r="D383">
        <v>111.3</v>
      </c>
      <c r="E383">
        <v>110.35</v>
      </c>
      <c r="F383">
        <v>101.5</v>
      </c>
      <c r="G383">
        <v>100.6</v>
      </c>
      <c r="H383">
        <v>98.55</v>
      </c>
      <c r="I383">
        <v>97.6</v>
      </c>
      <c r="K383">
        <f t="shared" si="65"/>
        <v>-5.0314466470263914E-4</v>
      </c>
      <c r="L383">
        <f t="shared" si="66"/>
        <v>-4.5300114024961468E-4</v>
      </c>
      <c r="M383">
        <f t="shared" si="67"/>
        <v>0</v>
      </c>
      <c r="N383">
        <f t="shared" si="68"/>
        <v>-4.5558165358606907E-3</v>
      </c>
      <c r="AB383">
        <f t="shared" si="60"/>
        <v>-2.8696800967290188E-4</v>
      </c>
      <c r="AC383">
        <f t="shared" si="61"/>
        <v>1.4927081445958485E-3</v>
      </c>
      <c r="AD383">
        <f t="shared" si="62"/>
        <v>3.2149269455968368E-3</v>
      </c>
      <c r="AE383">
        <f t="shared" si="63"/>
        <v>3.4967149867306624E-4</v>
      </c>
      <c r="AF383">
        <f t="shared" si="64"/>
        <v>1.0920447488632612E-3</v>
      </c>
      <c r="AG383">
        <f t="shared" si="69"/>
        <v>1.647848320335345E-3</v>
      </c>
    </row>
    <row r="384" spans="1:33" x14ac:dyDescent="0.3">
      <c r="A384" s="17">
        <v>45832</v>
      </c>
      <c r="B384">
        <v>100.1</v>
      </c>
      <c r="C384">
        <v>99.5</v>
      </c>
      <c r="D384">
        <v>111.25</v>
      </c>
      <c r="E384">
        <v>110.3</v>
      </c>
      <c r="F384">
        <v>101.65</v>
      </c>
      <c r="G384">
        <v>100.75</v>
      </c>
      <c r="H384">
        <v>98.9</v>
      </c>
      <c r="I384">
        <v>97.95</v>
      </c>
      <c r="K384">
        <f t="shared" si="65"/>
        <v>1.5086751667213935E-3</v>
      </c>
      <c r="L384">
        <f t="shared" si="66"/>
        <v>-4.532064432886477E-4</v>
      </c>
      <c r="M384">
        <f t="shared" si="67"/>
        <v>1.489943161153578E-3</v>
      </c>
      <c r="N384">
        <f t="shared" si="68"/>
        <v>3.5452050299372754E-3</v>
      </c>
      <c r="AB384">
        <f t="shared" si="60"/>
        <v>3.3557523453152803E-3</v>
      </c>
      <c r="AC384">
        <f t="shared" si="61"/>
        <v>1.7645730911702324E-3</v>
      </c>
      <c r="AD384">
        <f t="shared" si="62"/>
        <v>9.2818912883099215E-4</v>
      </c>
      <c r="AE384">
        <f t="shared" si="63"/>
        <v>2.9436268001326238E-3</v>
      </c>
      <c r="AF384">
        <f t="shared" si="64"/>
        <v>2.6115062477467432E-3</v>
      </c>
      <c r="AG384">
        <f t="shared" si="69"/>
        <v>1.9084245544945914E-3</v>
      </c>
    </row>
    <row r="385" spans="1:33" x14ac:dyDescent="0.3">
      <c r="A385" s="17">
        <v>45833</v>
      </c>
      <c r="B385">
        <v>100.15</v>
      </c>
      <c r="C385">
        <v>99.55</v>
      </c>
      <c r="D385">
        <v>111.65</v>
      </c>
      <c r="E385">
        <v>110.7</v>
      </c>
      <c r="F385">
        <v>101.85</v>
      </c>
      <c r="G385">
        <v>100.95</v>
      </c>
      <c r="H385">
        <v>99</v>
      </c>
      <c r="I385">
        <v>98.05</v>
      </c>
      <c r="K385">
        <f t="shared" si="65"/>
        <v>5.0238634565811374E-4</v>
      </c>
      <c r="L385">
        <f t="shared" si="66"/>
        <v>3.6199134551343935E-3</v>
      </c>
      <c r="M385">
        <f t="shared" si="67"/>
        <v>1.9831439320542469E-3</v>
      </c>
      <c r="N385">
        <f t="shared" si="68"/>
        <v>1.0106115059234598E-3</v>
      </c>
      <c r="AB385">
        <f t="shared" si="60"/>
        <v>1.6521048130040664E-3</v>
      </c>
      <c r="AC385">
        <f t="shared" si="61"/>
        <v>2.5293566248029329E-3</v>
      </c>
      <c r="AD385">
        <f t="shared" si="62"/>
        <v>4.2303616535047404E-4</v>
      </c>
      <c r="AE385">
        <f t="shared" si="63"/>
        <v>2.285300896378099E-3</v>
      </c>
      <c r="AF385">
        <f t="shared" si="64"/>
        <v>1.3025976116360055E-3</v>
      </c>
      <c r="AG385">
        <f t="shared" si="69"/>
        <v>2.7781728306114696E-3</v>
      </c>
    </row>
    <row r="386" spans="1:33" x14ac:dyDescent="0.3">
      <c r="A386" s="17">
        <v>45834</v>
      </c>
      <c r="B386">
        <v>100.15</v>
      </c>
      <c r="C386">
        <v>99.55</v>
      </c>
      <c r="D386">
        <v>111.85</v>
      </c>
      <c r="E386">
        <v>110.9</v>
      </c>
      <c r="F386">
        <v>102.15</v>
      </c>
      <c r="G386">
        <v>101.25</v>
      </c>
      <c r="H386">
        <v>99.05</v>
      </c>
      <c r="I386">
        <v>98.1</v>
      </c>
      <c r="K386">
        <f t="shared" si="65"/>
        <v>0</v>
      </c>
      <c r="L386">
        <f t="shared" si="66"/>
        <v>1.8050546417302405E-3</v>
      </c>
      <c r="M386">
        <f t="shared" si="67"/>
        <v>2.9673612278020081E-3</v>
      </c>
      <c r="N386">
        <f t="shared" si="68"/>
        <v>5.0492300997006818E-4</v>
      </c>
      <c r="AB386">
        <f t="shared" si="60"/>
        <v>0</v>
      </c>
      <c r="AC386">
        <f t="shared" si="61"/>
        <v>0</v>
      </c>
      <c r="AD386">
        <f t="shared" si="62"/>
        <v>0</v>
      </c>
      <c r="AE386">
        <f t="shared" si="63"/>
        <v>0</v>
      </c>
      <c r="AF386">
        <f t="shared" si="64"/>
        <v>0</v>
      </c>
      <c r="AG386">
        <f t="shared" si="69"/>
        <v>0</v>
      </c>
    </row>
    <row r="387" spans="1:33" x14ac:dyDescent="0.3">
      <c r="A387" s="17">
        <v>45835</v>
      </c>
      <c r="B387">
        <v>100.15</v>
      </c>
      <c r="C387">
        <v>99.55</v>
      </c>
      <c r="D387">
        <v>111.85</v>
      </c>
      <c r="E387">
        <v>110.9</v>
      </c>
      <c r="F387">
        <v>102.15</v>
      </c>
      <c r="G387">
        <v>101.25</v>
      </c>
      <c r="H387">
        <v>99.05</v>
      </c>
      <c r="I387">
        <v>98.1</v>
      </c>
      <c r="K387">
        <f t="shared" si="65"/>
        <v>0</v>
      </c>
      <c r="L387">
        <f t="shared" si="66"/>
        <v>0</v>
      </c>
      <c r="M387">
        <f t="shared" si="67"/>
        <v>0</v>
      </c>
      <c r="N387">
        <f t="shared" si="68"/>
        <v>0</v>
      </c>
      <c r="AB387">
        <f t="shared" ref="AB387:AB450" si="70">K388*$S$108+L388*$T$108</f>
        <v>9.9499909212252499E-4</v>
      </c>
      <c r="AC387">
        <f t="shared" ref="AC387:AC450" si="71">K388*$S$109+M388*$T$109</f>
        <v>-1.3891516625967417E-3</v>
      </c>
      <c r="AD387">
        <f t="shared" ref="AD387:AD450" si="72">K388*$S$110+N388*$T$110</f>
        <v>1.5933215192734515E-3</v>
      </c>
      <c r="AE387">
        <f t="shared" ref="AE387:AE450" si="73">L388*$S$111+M388*$T$111</f>
        <v>-2.8807116697077628E-4</v>
      </c>
      <c r="AF387">
        <f t="shared" ref="AF387:AF450" si="74">L388*$S$112+N388*$T$112</f>
        <v>1.1377988837047532E-3</v>
      </c>
      <c r="AG387">
        <f t="shared" si="69"/>
        <v>-1.7090878060765427E-3</v>
      </c>
    </row>
    <row r="388" spans="1:33" x14ac:dyDescent="0.3">
      <c r="A388" s="17">
        <v>45838</v>
      </c>
      <c r="B388">
        <v>100.35</v>
      </c>
      <c r="C388">
        <v>99.75</v>
      </c>
      <c r="D388">
        <v>111.95</v>
      </c>
      <c r="E388">
        <v>111</v>
      </c>
      <c r="F388">
        <v>101.95</v>
      </c>
      <c r="G388">
        <v>101.05</v>
      </c>
      <c r="H388">
        <v>99.2</v>
      </c>
      <c r="I388">
        <v>98.25</v>
      </c>
      <c r="K388">
        <f t="shared" ref="K388:K451" si="75">LN(C388/C387)</f>
        <v>2.0070252597676561E-3</v>
      </c>
      <c r="L388">
        <f t="shared" ref="L388:L451" si="76">LN(E388/E387)</f>
        <v>9.0130695601266665E-4</v>
      </c>
      <c r="M388">
        <f t="shared" ref="M388:M451" si="77">LN(G388/G387)</f>
        <v>-1.9772621370185667E-3</v>
      </c>
      <c r="N388">
        <f t="shared" ref="N388:N451" si="78">LN(H388/H387)</f>
        <v>1.5132411462672152E-3</v>
      </c>
      <c r="AB388">
        <f t="shared" si="70"/>
        <v>4.8915755622066228E-3</v>
      </c>
      <c r="AC388">
        <f t="shared" si="71"/>
        <v>1.1903577213176978E-3</v>
      </c>
      <c r="AD388">
        <f t="shared" si="72"/>
        <v>7.6284228006030807E-4</v>
      </c>
      <c r="AE388">
        <f t="shared" si="73"/>
        <v>3.7763182052580912E-3</v>
      </c>
      <c r="AF388">
        <f t="shared" si="74"/>
        <v>3.696854147291889E-3</v>
      </c>
      <c r="AG388">
        <f t="shared" ref="AG388:AG451" si="79">M389*$S$113+N389*$T$113</f>
        <v>1.4467607928016748E-3</v>
      </c>
    </row>
    <row r="389" spans="1:33" x14ac:dyDescent="0.3">
      <c r="A389" s="17">
        <v>45839</v>
      </c>
      <c r="B389">
        <v>100.3</v>
      </c>
      <c r="C389">
        <v>99.7</v>
      </c>
      <c r="D389">
        <v>112.55</v>
      </c>
      <c r="E389">
        <v>111.6</v>
      </c>
      <c r="F389">
        <v>102.1</v>
      </c>
      <c r="G389">
        <v>101.2</v>
      </c>
      <c r="H389">
        <v>99.3</v>
      </c>
      <c r="I389">
        <v>98.35</v>
      </c>
      <c r="K389">
        <f t="shared" si="75"/>
        <v>-5.013788021801137E-4</v>
      </c>
      <c r="L389">
        <f t="shared" si="76"/>
        <v>5.390848634876373E-3</v>
      </c>
      <c r="M389">
        <f t="shared" si="77"/>
        <v>1.4833130037351886E-3</v>
      </c>
      <c r="N389">
        <f t="shared" si="78"/>
        <v>1.0075567602997706E-3</v>
      </c>
      <c r="AB389">
        <f t="shared" si="70"/>
        <v>-1.7267646494772268E-3</v>
      </c>
      <c r="AC389">
        <f t="shared" si="71"/>
        <v>-9.9082745452581424E-4</v>
      </c>
      <c r="AD389">
        <f t="shared" si="72"/>
        <v>-3.1210152939589761E-3</v>
      </c>
      <c r="AE389">
        <f t="shared" si="73"/>
        <v>-1.4610716343633253E-3</v>
      </c>
      <c r="AF389">
        <f t="shared" si="74"/>
        <v>-2.4650826055675115E-3</v>
      </c>
      <c r="AG389">
        <f t="shared" si="79"/>
        <v>-1.1839525360852598E-3</v>
      </c>
    </row>
    <row r="390" spans="1:33" x14ac:dyDescent="0.3">
      <c r="A390" s="17">
        <v>45840</v>
      </c>
      <c r="B390">
        <v>100.2</v>
      </c>
      <c r="C390">
        <v>99.6</v>
      </c>
      <c r="D390">
        <v>112.35</v>
      </c>
      <c r="E390">
        <v>111.4</v>
      </c>
      <c r="F390">
        <v>102</v>
      </c>
      <c r="G390">
        <v>101.1</v>
      </c>
      <c r="H390">
        <v>98.95</v>
      </c>
      <c r="I390">
        <v>98.05</v>
      </c>
      <c r="K390">
        <f t="shared" si="75"/>
        <v>-1.0035123772401337E-3</v>
      </c>
      <c r="L390">
        <f t="shared" si="76"/>
        <v>-1.7937224540267663E-3</v>
      </c>
      <c r="M390">
        <f t="shared" si="77"/>
        <v>-9.8863082693954321E-4</v>
      </c>
      <c r="N390">
        <f t="shared" si="78"/>
        <v>-3.5308990025521634E-3</v>
      </c>
      <c r="AB390">
        <f t="shared" si="70"/>
        <v>1.4015539865133797E-3</v>
      </c>
      <c r="AC390">
        <f t="shared" si="71"/>
        <v>1.5598434180822413E-3</v>
      </c>
      <c r="AD390">
        <f t="shared" si="72"/>
        <v>7.4857975702114225E-4</v>
      </c>
      <c r="AE390">
        <f t="shared" si="73"/>
        <v>1.4021940192217698E-3</v>
      </c>
      <c r="AF390">
        <f t="shared" si="74"/>
        <v>1.0208012142897986E-3</v>
      </c>
      <c r="AG390">
        <f t="shared" si="79"/>
        <v>1.4074864644131996E-3</v>
      </c>
    </row>
    <row r="391" spans="1:33" x14ac:dyDescent="0.3">
      <c r="A391" s="17">
        <v>45841</v>
      </c>
      <c r="B391">
        <v>100.4</v>
      </c>
      <c r="C391">
        <v>99.8</v>
      </c>
      <c r="D391">
        <v>112.5</v>
      </c>
      <c r="E391">
        <v>111.55</v>
      </c>
      <c r="F391">
        <v>102.15</v>
      </c>
      <c r="G391">
        <v>101.25</v>
      </c>
      <c r="H391">
        <v>99</v>
      </c>
      <c r="I391">
        <v>98.05</v>
      </c>
      <c r="K391">
        <f t="shared" si="75"/>
        <v>2.006018726865766E-3</v>
      </c>
      <c r="L391">
        <f t="shared" si="76"/>
        <v>1.3455933853576943E-3</v>
      </c>
      <c r="M391">
        <f t="shared" si="77"/>
        <v>1.4825799602228961E-3</v>
      </c>
      <c r="N391">
        <f t="shared" si="78"/>
        <v>5.0517808601511073E-4</v>
      </c>
      <c r="AB391">
        <f t="shared" si="70"/>
        <v>0</v>
      </c>
      <c r="AC391">
        <f t="shared" si="71"/>
        <v>0</v>
      </c>
      <c r="AD391">
        <f t="shared" si="72"/>
        <v>0</v>
      </c>
      <c r="AE391">
        <f t="shared" si="73"/>
        <v>0</v>
      </c>
      <c r="AF391">
        <f t="shared" si="74"/>
        <v>0</v>
      </c>
      <c r="AG391">
        <f t="shared" si="79"/>
        <v>0</v>
      </c>
    </row>
    <row r="392" spans="1:33" x14ac:dyDescent="0.3">
      <c r="A392" s="17">
        <v>45842</v>
      </c>
      <c r="B392">
        <v>100.4</v>
      </c>
      <c r="C392">
        <v>99.8</v>
      </c>
      <c r="D392">
        <v>112.5</v>
      </c>
      <c r="E392">
        <v>111.55</v>
      </c>
      <c r="F392">
        <v>102.15</v>
      </c>
      <c r="G392">
        <v>101.25</v>
      </c>
      <c r="H392">
        <v>99</v>
      </c>
      <c r="I392">
        <v>98.05</v>
      </c>
      <c r="K392">
        <f t="shared" si="75"/>
        <v>0</v>
      </c>
      <c r="L392">
        <f t="shared" si="76"/>
        <v>0</v>
      </c>
      <c r="M392">
        <f t="shared" si="77"/>
        <v>0</v>
      </c>
      <c r="N392">
        <f t="shared" si="78"/>
        <v>0</v>
      </c>
      <c r="AB392">
        <f t="shared" si="70"/>
        <v>3.4033831290683552E-3</v>
      </c>
      <c r="AC392">
        <f t="shared" si="71"/>
        <v>3.5825307466037094E-3</v>
      </c>
      <c r="AD392">
        <f t="shared" si="72"/>
        <v>-6.03143826026353E-4</v>
      </c>
      <c r="AE392">
        <f t="shared" si="73"/>
        <v>3.7295780857352565E-3</v>
      </c>
      <c r="AF392">
        <f t="shared" si="74"/>
        <v>1.8055289460285507E-3</v>
      </c>
      <c r="AG392">
        <f t="shared" si="79"/>
        <v>3.5622623334016176E-3</v>
      </c>
    </row>
    <row r="393" spans="1:33" x14ac:dyDescent="0.3">
      <c r="A393" s="17">
        <v>45845</v>
      </c>
      <c r="B393">
        <v>100.55</v>
      </c>
      <c r="C393">
        <v>99.95</v>
      </c>
      <c r="D393">
        <v>112.9</v>
      </c>
      <c r="E393">
        <v>111.95</v>
      </c>
      <c r="F393">
        <v>102.55</v>
      </c>
      <c r="G393">
        <v>101.65</v>
      </c>
      <c r="H393">
        <v>98.9</v>
      </c>
      <c r="I393">
        <v>97.95</v>
      </c>
      <c r="K393">
        <f t="shared" si="75"/>
        <v>1.5018776289907531E-3</v>
      </c>
      <c r="L393">
        <f t="shared" si="76"/>
        <v>3.5794221662223688E-3</v>
      </c>
      <c r="M393">
        <f t="shared" si="77"/>
        <v>3.9428340877072417E-3</v>
      </c>
      <c r="N393">
        <f t="shared" si="78"/>
        <v>-1.010611505923392E-3</v>
      </c>
      <c r="AB393">
        <f t="shared" si="70"/>
        <v>2.1167680782837686E-4</v>
      </c>
      <c r="AC393">
        <f t="shared" si="71"/>
        <v>7.8791734662386412E-4</v>
      </c>
      <c r="AD393">
        <f t="shared" si="72"/>
        <v>4.0513858771968312E-4</v>
      </c>
      <c r="AE393">
        <f t="shared" si="73"/>
        <v>2.0318849796235023E-4</v>
      </c>
      <c r="AF393">
        <f t="shared" si="74"/>
        <v>0</v>
      </c>
      <c r="AG393">
        <f t="shared" si="79"/>
        <v>4.5398097639502683E-4</v>
      </c>
    </row>
    <row r="394" spans="1:33" x14ac:dyDescent="0.3">
      <c r="A394" s="17">
        <v>45846</v>
      </c>
      <c r="B394">
        <v>100.8</v>
      </c>
      <c r="C394">
        <v>100.2</v>
      </c>
      <c r="D394">
        <v>112.9</v>
      </c>
      <c r="E394">
        <v>111.95</v>
      </c>
      <c r="F394">
        <v>102.6</v>
      </c>
      <c r="G394">
        <v>101.7</v>
      </c>
      <c r="H394">
        <v>98.9</v>
      </c>
      <c r="I394">
        <v>97.95</v>
      </c>
      <c r="K394">
        <f t="shared" si="75"/>
        <v>2.4981277043552878E-3</v>
      </c>
      <c r="L394">
        <f t="shared" si="76"/>
        <v>0</v>
      </c>
      <c r="M394">
        <f t="shared" si="77"/>
        <v>4.9176298015866839E-4</v>
      </c>
      <c r="N394">
        <f t="shared" si="78"/>
        <v>0</v>
      </c>
      <c r="AB394">
        <f t="shared" si="70"/>
        <v>-1.6788886298009097E-3</v>
      </c>
      <c r="AC394">
        <f t="shared" si="71"/>
        <v>-1.3318190162329661E-3</v>
      </c>
      <c r="AD394">
        <f t="shared" si="72"/>
        <v>-9.2851702781391828E-4</v>
      </c>
      <c r="AE394">
        <f t="shared" si="73"/>
        <v>-1.6591571494163034E-3</v>
      </c>
      <c r="AF394">
        <f t="shared" si="74"/>
        <v>-1.4880278880494134E-3</v>
      </c>
      <c r="AG394">
        <f t="shared" si="79"/>
        <v>-1.4403367619868586E-3</v>
      </c>
    </row>
    <row r="395" spans="1:33" x14ac:dyDescent="0.3">
      <c r="A395" s="17">
        <v>45847</v>
      </c>
      <c r="B395">
        <v>100.75</v>
      </c>
      <c r="C395">
        <v>100.15</v>
      </c>
      <c r="D395">
        <v>112.7</v>
      </c>
      <c r="E395">
        <v>111.75</v>
      </c>
      <c r="F395">
        <v>102.45</v>
      </c>
      <c r="G395">
        <v>101.55</v>
      </c>
      <c r="H395">
        <v>98.8</v>
      </c>
      <c r="I395">
        <v>97.9</v>
      </c>
      <c r="K395">
        <f t="shared" si="75"/>
        <v>-4.9912653893712184E-4</v>
      </c>
      <c r="L395">
        <f t="shared" si="76"/>
        <v>-1.788109551085645E-3</v>
      </c>
      <c r="M395">
        <f t="shared" si="77"/>
        <v>-1.4760150281206525E-3</v>
      </c>
      <c r="N395">
        <f t="shared" si="78"/>
        <v>-1.0116338748443737E-3</v>
      </c>
      <c r="AB395">
        <f t="shared" si="70"/>
        <v>7.763493776610684E-4</v>
      </c>
      <c r="AC395">
        <f t="shared" si="71"/>
        <v>1.6034017112927573E-3</v>
      </c>
      <c r="AD395">
        <f t="shared" si="72"/>
        <v>1.6132966955696667E-3</v>
      </c>
      <c r="AE395">
        <f t="shared" si="73"/>
        <v>1.3378344829916267E-3</v>
      </c>
      <c r="AF395">
        <f t="shared" si="74"/>
        <v>1.3303076065450496E-3</v>
      </c>
      <c r="AG395">
        <f t="shared" si="79"/>
        <v>1.9717395790266636E-3</v>
      </c>
    </row>
    <row r="396" spans="1:33" x14ac:dyDescent="0.3">
      <c r="A396" s="17">
        <v>45848</v>
      </c>
      <c r="B396">
        <v>100.7</v>
      </c>
      <c r="C396">
        <v>100.1</v>
      </c>
      <c r="D396">
        <v>112.8</v>
      </c>
      <c r="E396">
        <v>111.85</v>
      </c>
      <c r="F396">
        <v>102.65</v>
      </c>
      <c r="G396">
        <v>101.75</v>
      </c>
      <c r="H396">
        <v>99</v>
      </c>
      <c r="I396">
        <v>98.1</v>
      </c>
      <c r="K396">
        <f t="shared" si="75"/>
        <v>-4.9937579065250108E-4</v>
      </c>
      <c r="L396">
        <f t="shared" si="76"/>
        <v>8.9445444246045883E-4</v>
      </c>
      <c r="M396">
        <f t="shared" si="77"/>
        <v>1.967536296310668E-3</v>
      </c>
      <c r="N396">
        <f t="shared" si="78"/>
        <v>2.0222453807678706E-3</v>
      </c>
      <c r="AB396">
        <f t="shared" si="70"/>
        <v>-9.033554200860367E-4</v>
      </c>
      <c r="AC396">
        <f t="shared" si="71"/>
        <v>-1.4753368834503485E-4</v>
      </c>
      <c r="AD396">
        <f t="shared" si="72"/>
        <v>2.6094030745464766E-4</v>
      </c>
      <c r="AE396">
        <f t="shared" si="73"/>
        <v>-5.2488035495861678E-4</v>
      </c>
      <c r="AF396">
        <f t="shared" si="74"/>
        <v>-3.5364224963868167E-4</v>
      </c>
      <c r="AG396">
        <f t="shared" si="79"/>
        <v>3.8793084946904938E-5</v>
      </c>
    </row>
    <row r="397" spans="1:33" x14ac:dyDescent="0.3">
      <c r="A397" s="17">
        <v>45849</v>
      </c>
      <c r="B397">
        <v>100.6</v>
      </c>
      <c r="C397">
        <v>100</v>
      </c>
      <c r="D397">
        <v>112.7</v>
      </c>
      <c r="E397">
        <v>111.75</v>
      </c>
      <c r="F397">
        <v>102.65</v>
      </c>
      <c r="G397">
        <v>101.75</v>
      </c>
      <c r="H397">
        <v>99.05</v>
      </c>
      <c r="I397">
        <v>98.15</v>
      </c>
      <c r="K397">
        <f t="shared" si="75"/>
        <v>-9.9950033308349932E-4</v>
      </c>
      <c r="L397">
        <f t="shared" si="76"/>
        <v>-8.9445444246034011E-4</v>
      </c>
      <c r="M397">
        <f t="shared" si="77"/>
        <v>0</v>
      </c>
      <c r="N397">
        <f t="shared" si="78"/>
        <v>5.0492300997006818E-4</v>
      </c>
      <c r="AB397">
        <f t="shared" si="70"/>
        <v>4.9411516381901331E-4</v>
      </c>
      <c r="AC397">
        <f t="shared" si="71"/>
        <v>5.662969279634488E-4</v>
      </c>
      <c r="AD397">
        <f t="shared" si="72"/>
        <v>-1.1076539800009629E-3</v>
      </c>
      <c r="AE397">
        <f t="shared" si="73"/>
        <v>4.65487715824569E-4</v>
      </c>
      <c r="AF397">
        <f t="shared" si="74"/>
        <v>-3.11252640969948E-4</v>
      </c>
      <c r="AG397">
        <f t="shared" si="79"/>
        <v>3.3709684612361442E-4</v>
      </c>
    </row>
    <row r="398" spans="1:33" x14ac:dyDescent="0.3">
      <c r="A398" s="17">
        <v>45852</v>
      </c>
      <c r="B398">
        <v>100.7</v>
      </c>
      <c r="C398">
        <v>100.1</v>
      </c>
      <c r="D398">
        <v>112.75</v>
      </c>
      <c r="E398">
        <v>111.8</v>
      </c>
      <c r="F398">
        <v>102.7</v>
      </c>
      <c r="G398">
        <v>101.8</v>
      </c>
      <c r="H398">
        <v>98.9</v>
      </c>
      <c r="I398">
        <v>98</v>
      </c>
      <c r="K398">
        <f t="shared" si="75"/>
        <v>9.9950033308342321E-4</v>
      </c>
      <c r="L398">
        <f t="shared" si="76"/>
        <v>4.4732722732048933E-4</v>
      </c>
      <c r="M398">
        <f t="shared" si="77"/>
        <v>4.912797937180138E-4</v>
      </c>
      <c r="N398">
        <f t="shared" si="78"/>
        <v>-1.5155345158934374E-3</v>
      </c>
      <c r="AB398">
        <f t="shared" si="70"/>
        <v>-8.1902986932313863E-4</v>
      </c>
      <c r="AC398">
        <f t="shared" si="71"/>
        <v>0</v>
      </c>
      <c r="AD398">
        <f t="shared" si="72"/>
        <v>2.1151819052721041E-3</v>
      </c>
      <c r="AE398">
        <f t="shared" si="73"/>
        <v>-5.2511520078636111E-4</v>
      </c>
      <c r="AF398">
        <f t="shared" si="74"/>
        <v>4.2665557099221972E-4</v>
      </c>
      <c r="AG398">
        <f t="shared" si="79"/>
        <v>1.9396552363648881E-4</v>
      </c>
    </row>
    <row r="399" spans="1:33" x14ac:dyDescent="0.3">
      <c r="A399" s="17">
        <v>45853</v>
      </c>
      <c r="B399">
        <v>100.7</v>
      </c>
      <c r="C399">
        <v>100.1</v>
      </c>
      <c r="D399">
        <v>112.65</v>
      </c>
      <c r="E399">
        <v>111.7</v>
      </c>
      <c r="F399">
        <v>102.7</v>
      </c>
      <c r="G399">
        <v>101.8</v>
      </c>
      <c r="H399">
        <v>99.15</v>
      </c>
      <c r="I399">
        <v>98.25</v>
      </c>
      <c r="K399">
        <f t="shared" si="75"/>
        <v>0</v>
      </c>
      <c r="L399">
        <f t="shared" si="76"/>
        <v>-8.948546458437107E-4</v>
      </c>
      <c r="M399">
        <f t="shared" si="77"/>
        <v>0</v>
      </c>
      <c r="N399">
        <f t="shared" si="78"/>
        <v>2.5246163371384616E-3</v>
      </c>
      <c r="AB399">
        <f t="shared" si="70"/>
        <v>1.2282701255901065E-3</v>
      </c>
      <c r="AC399">
        <f t="shared" si="71"/>
        <v>1.6729986864244266E-3</v>
      </c>
      <c r="AD399">
        <f t="shared" si="72"/>
        <v>-8.4543206737544769E-4</v>
      </c>
      <c r="AE399">
        <f t="shared" si="73"/>
        <v>1.5984563298128951E-3</v>
      </c>
      <c r="AF399">
        <f t="shared" si="74"/>
        <v>4.3337503496871976E-4</v>
      </c>
      <c r="AG399">
        <f t="shared" si="79"/>
        <v>1.734387348466366E-3</v>
      </c>
    </row>
    <row r="400" spans="1:33" x14ac:dyDescent="0.3">
      <c r="A400" s="17">
        <v>45854</v>
      </c>
      <c r="B400">
        <v>100.7</v>
      </c>
      <c r="C400">
        <v>100.1</v>
      </c>
      <c r="D400">
        <v>112.8</v>
      </c>
      <c r="E400">
        <v>111.85</v>
      </c>
      <c r="F400">
        <v>102.9</v>
      </c>
      <c r="G400">
        <v>102</v>
      </c>
      <c r="H400">
        <v>99.05</v>
      </c>
      <c r="I400">
        <v>98.15</v>
      </c>
      <c r="K400">
        <f t="shared" si="75"/>
        <v>0</v>
      </c>
      <c r="L400">
        <f t="shared" si="76"/>
        <v>1.3419818609835077E-3</v>
      </c>
      <c r="M400">
        <f t="shared" si="77"/>
        <v>1.9627091678486889E-3</v>
      </c>
      <c r="N400">
        <f t="shared" si="78"/>
        <v>-1.0090818212451684E-3</v>
      </c>
      <c r="AB400">
        <f t="shared" si="70"/>
        <v>-2.0903689045134988E-3</v>
      </c>
      <c r="AC400">
        <f t="shared" si="71"/>
        <v>-2.1655103377197981E-3</v>
      </c>
      <c r="AD400">
        <f t="shared" si="72"/>
        <v>7.6440439028467968E-4</v>
      </c>
      <c r="AE400">
        <f t="shared" si="73"/>
        <v>-2.3270307064298069E-3</v>
      </c>
      <c r="AF400">
        <f t="shared" si="74"/>
        <v>-9.8289027452996228E-4</v>
      </c>
      <c r="AG400">
        <f t="shared" si="79"/>
        <v>-2.18792226149152E-3</v>
      </c>
    </row>
    <row r="401" spans="1:33" x14ac:dyDescent="0.3">
      <c r="A401" s="17">
        <v>45855</v>
      </c>
      <c r="B401">
        <v>100.65</v>
      </c>
      <c r="C401">
        <v>100.05</v>
      </c>
      <c r="D401">
        <v>112.55</v>
      </c>
      <c r="E401">
        <v>111.6</v>
      </c>
      <c r="F401">
        <v>102.65</v>
      </c>
      <c r="G401">
        <v>101.75</v>
      </c>
      <c r="H401">
        <v>99.15</v>
      </c>
      <c r="I401">
        <v>98.25</v>
      </c>
      <c r="K401">
        <f t="shared" si="75"/>
        <v>-4.9962529143241278E-4</v>
      </c>
      <c r="L401">
        <f t="shared" si="76"/>
        <v>-2.2376379889280655E-3</v>
      </c>
      <c r="M401">
        <f t="shared" si="77"/>
        <v>-2.4539889615667028E-3</v>
      </c>
      <c r="N401">
        <f t="shared" si="78"/>
        <v>1.0090818212451498E-3</v>
      </c>
      <c r="AB401">
        <f t="shared" si="70"/>
        <v>2.584033538331303E-3</v>
      </c>
      <c r="AC401">
        <f t="shared" si="71"/>
        <v>-6.17009387526952E-4</v>
      </c>
      <c r="AD401">
        <f t="shared" si="72"/>
        <v>6.6535801433551358E-4</v>
      </c>
      <c r="AE401">
        <f t="shared" si="73"/>
        <v>1.1690693188931662E-3</v>
      </c>
      <c r="AF401">
        <f t="shared" si="74"/>
        <v>1.841911965942557E-3</v>
      </c>
      <c r="AG401">
        <f t="shared" si="79"/>
        <v>-8.6900440022106792E-4</v>
      </c>
    </row>
    <row r="402" spans="1:33" x14ac:dyDescent="0.3">
      <c r="A402" s="17">
        <v>45856</v>
      </c>
      <c r="B402">
        <v>100.8</v>
      </c>
      <c r="C402">
        <v>100.2</v>
      </c>
      <c r="D402">
        <v>112.85</v>
      </c>
      <c r="E402">
        <v>111.9</v>
      </c>
      <c r="F402">
        <v>102.55</v>
      </c>
      <c r="G402">
        <v>101.65</v>
      </c>
      <c r="H402">
        <v>99.2</v>
      </c>
      <c r="I402">
        <v>98.3</v>
      </c>
      <c r="K402">
        <f t="shared" si="75"/>
        <v>1.4981276210219918E-3</v>
      </c>
      <c r="L402">
        <f t="shared" si="76"/>
        <v>2.6845653706689828E-3</v>
      </c>
      <c r="M402">
        <f t="shared" si="77"/>
        <v>-9.8328424834864901E-4</v>
      </c>
      <c r="N402">
        <f t="shared" si="78"/>
        <v>5.041593250221301E-4</v>
      </c>
      <c r="AB402">
        <f t="shared" si="70"/>
        <v>-3.2453447365920519E-4</v>
      </c>
      <c r="AC402">
        <f t="shared" si="71"/>
        <v>1.822704381889594E-3</v>
      </c>
      <c r="AD402">
        <f t="shared" si="72"/>
        <v>-6.8323325279559532E-4</v>
      </c>
      <c r="AE402">
        <f t="shared" si="73"/>
        <v>5.4989092859182814E-4</v>
      </c>
      <c r="AF402">
        <f t="shared" si="74"/>
        <v>-6.6398445485089767E-4</v>
      </c>
      <c r="AG402">
        <f t="shared" si="79"/>
        <v>1.73709757371343E-3</v>
      </c>
    </row>
    <row r="403" spans="1:33" x14ac:dyDescent="0.3">
      <c r="A403" s="17">
        <v>45859</v>
      </c>
      <c r="B403">
        <v>100.9</v>
      </c>
      <c r="C403">
        <v>100.3</v>
      </c>
      <c r="D403">
        <v>112.8</v>
      </c>
      <c r="E403">
        <v>111.85</v>
      </c>
      <c r="F403">
        <v>102.75</v>
      </c>
      <c r="G403">
        <v>101.85</v>
      </c>
      <c r="H403">
        <v>99.1</v>
      </c>
      <c r="I403">
        <v>98.2</v>
      </c>
      <c r="K403">
        <f t="shared" si="75"/>
        <v>9.9750631712533814E-4</v>
      </c>
      <c r="L403">
        <f t="shared" si="76"/>
        <v>-4.4692738174100855E-4</v>
      </c>
      <c r="M403">
        <f t="shared" si="77"/>
        <v>1.9656025984591272E-3</v>
      </c>
      <c r="N403">
        <f t="shared" si="78"/>
        <v>-1.0085729548848857E-3</v>
      </c>
      <c r="AB403">
        <f t="shared" si="70"/>
        <v>2.6625454087650696E-3</v>
      </c>
      <c r="AC403">
        <f t="shared" si="71"/>
        <v>1.2039562469426269E-3</v>
      </c>
      <c r="AD403">
        <f t="shared" si="72"/>
        <v>2.5146450976903205E-3</v>
      </c>
      <c r="AE403">
        <f t="shared" si="73"/>
        <v>1.9773097615725112E-3</v>
      </c>
      <c r="AF403">
        <f t="shared" si="74"/>
        <v>2.6171073589102561E-3</v>
      </c>
      <c r="AG403">
        <f t="shared" si="79"/>
        <v>1.099531746706065E-3</v>
      </c>
    </row>
    <row r="404" spans="1:33" x14ac:dyDescent="0.3">
      <c r="A404" s="17">
        <v>45860</v>
      </c>
      <c r="B404">
        <v>101.15</v>
      </c>
      <c r="C404">
        <v>100.55</v>
      </c>
      <c r="D404">
        <v>113.1</v>
      </c>
      <c r="E404">
        <v>112.15</v>
      </c>
      <c r="F404">
        <v>102.85</v>
      </c>
      <c r="G404">
        <v>101.95</v>
      </c>
      <c r="H404">
        <v>99.35</v>
      </c>
      <c r="I404">
        <v>98.45</v>
      </c>
      <c r="K404">
        <f t="shared" si="75"/>
        <v>2.4894212507712388E-3</v>
      </c>
      <c r="L404">
        <f t="shared" si="76"/>
        <v>2.67857303007886E-3</v>
      </c>
      <c r="M404">
        <f t="shared" si="77"/>
        <v>9.8135434764935379E-4</v>
      </c>
      <c r="N404">
        <f t="shared" si="78"/>
        <v>2.5195276618835264E-3</v>
      </c>
      <c r="AB404">
        <f t="shared" si="70"/>
        <v>-2.1268616055409887E-3</v>
      </c>
      <c r="AC404">
        <f t="shared" si="71"/>
        <v>-1.4019298421620958E-3</v>
      </c>
      <c r="AD404">
        <f t="shared" si="72"/>
        <v>2.6017617116492423E-4</v>
      </c>
      <c r="AE404">
        <f t="shared" si="73"/>
        <v>-1.9179347125583075E-3</v>
      </c>
      <c r="AF404">
        <f t="shared" si="74"/>
        <v>-1.1747414202940426E-3</v>
      </c>
      <c r="AG404">
        <f t="shared" si="79"/>
        <v>-1.3206129391623808E-3</v>
      </c>
    </row>
    <row r="405" spans="1:33" x14ac:dyDescent="0.3">
      <c r="A405" s="17">
        <v>45861</v>
      </c>
      <c r="B405">
        <v>101.05</v>
      </c>
      <c r="C405">
        <v>100.45</v>
      </c>
      <c r="D405">
        <v>112.85</v>
      </c>
      <c r="E405">
        <v>111.9</v>
      </c>
      <c r="F405">
        <v>102.7</v>
      </c>
      <c r="G405">
        <v>101.8</v>
      </c>
      <c r="H405">
        <v>99.4</v>
      </c>
      <c r="I405">
        <v>98.5</v>
      </c>
      <c r="K405">
        <f t="shared" si="75"/>
        <v>-9.9502495771755907E-4</v>
      </c>
      <c r="L405">
        <f t="shared" si="76"/>
        <v>-2.2316456483377788E-3</v>
      </c>
      <c r="M405">
        <f t="shared" si="77"/>
        <v>-1.4723929040418731E-3</v>
      </c>
      <c r="N405">
        <f t="shared" si="78"/>
        <v>5.031446647025511E-4</v>
      </c>
      <c r="AB405">
        <f t="shared" si="70"/>
        <v>-6.4975616969860795E-4</v>
      </c>
      <c r="AC405">
        <f t="shared" si="71"/>
        <v>-1.2516305748687298E-4</v>
      </c>
      <c r="AD405">
        <f t="shared" si="72"/>
        <v>2.8474126768140789E-3</v>
      </c>
      <c r="AE405">
        <f t="shared" si="73"/>
        <v>-7.2763457224751555E-4</v>
      </c>
      <c r="AF405">
        <f t="shared" si="74"/>
        <v>6.1610794196668918E-4</v>
      </c>
      <c r="AG405">
        <f t="shared" si="79"/>
        <v>-2.2200373899337669E-4</v>
      </c>
    </row>
    <row r="406" spans="1:33" x14ac:dyDescent="0.3">
      <c r="A406" s="17">
        <v>45862</v>
      </c>
      <c r="B406">
        <v>101.25</v>
      </c>
      <c r="C406">
        <v>100.65</v>
      </c>
      <c r="D406">
        <v>112.75</v>
      </c>
      <c r="E406">
        <v>111.8</v>
      </c>
      <c r="F406">
        <v>102.65</v>
      </c>
      <c r="G406">
        <v>101.75</v>
      </c>
      <c r="H406">
        <v>99.7</v>
      </c>
      <c r="I406">
        <v>98.8</v>
      </c>
      <c r="K406">
        <f t="shared" si="75"/>
        <v>1.9890608248571803E-3</v>
      </c>
      <c r="L406">
        <f t="shared" si="76"/>
        <v>-8.9405459688080143E-4</v>
      </c>
      <c r="M406">
        <f t="shared" si="77"/>
        <v>-4.9127979371793714E-4</v>
      </c>
      <c r="N406">
        <f t="shared" si="78"/>
        <v>3.0135633052642587E-3</v>
      </c>
      <c r="AB406">
        <f t="shared" si="70"/>
        <v>-8.6113381160927516E-4</v>
      </c>
      <c r="AC406">
        <f t="shared" si="71"/>
        <v>1.182327719245455E-3</v>
      </c>
      <c r="AD406">
        <f t="shared" si="72"/>
        <v>7.5933819243393557E-4</v>
      </c>
      <c r="AE406">
        <f t="shared" si="73"/>
        <v>8.3552430442998928E-5</v>
      </c>
      <c r="AF406">
        <f t="shared" si="74"/>
        <v>-1.6158860761228779E-4</v>
      </c>
      <c r="AG406">
        <f t="shared" si="79"/>
        <v>1.4369591134820977E-3</v>
      </c>
    </row>
    <row r="407" spans="1:33" x14ac:dyDescent="0.3">
      <c r="A407" s="17">
        <v>45863</v>
      </c>
      <c r="B407">
        <v>101.2</v>
      </c>
      <c r="C407">
        <v>100.6</v>
      </c>
      <c r="D407">
        <v>112.65</v>
      </c>
      <c r="E407">
        <v>111.7</v>
      </c>
      <c r="F407">
        <v>102.8</v>
      </c>
      <c r="G407">
        <v>101.9</v>
      </c>
      <c r="H407">
        <v>99.8</v>
      </c>
      <c r="I407">
        <v>98.9</v>
      </c>
      <c r="K407">
        <f t="shared" si="75"/>
        <v>-4.9689442016176053E-4</v>
      </c>
      <c r="L407">
        <f t="shared" si="76"/>
        <v>-8.948546458437107E-4</v>
      </c>
      <c r="M407">
        <f t="shared" si="77"/>
        <v>1.4731159059748053E-3</v>
      </c>
      <c r="N407">
        <f t="shared" si="78"/>
        <v>1.0025063496255707E-3</v>
      </c>
      <c r="AB407">
        <f t="shared" si="70"/>
        <v>-4.2124873901348576E-5</v>
      </c>
      <c r="AC407">
        <f t="shared" si="71"/>
        <v>-4.9173396140967209E-4</v>
      </c>
      <c r="AD407">
        <f t="shared" si="72"/>
        <v>-1.3408253046065057E-3</v>
      </c>
      <c r="AE407">
        <f t="shared" si="73"/>
        <v>-2.0278960028162534E-4</v>
      </c>
      <c r="AF407">
        <f t="shared" si="74"/>
        <v>-5.8129809311699247E-4</v>
      </c>
      <c r="AG407">
        <f t="shared" si="79"/>
        <v>-5.6865209827340201E-4</v>
      </c>
    </row>
    <row r="408" spans="1:33" x14ac:dyDescent="0.3">
      <c r="A408" s="17">
        <v>45866</v>
      </c>
      <c r="B408">
        <v>101.15</v>
      </c>
      <c r="C408">
        <v>100.55</v>
      </c>
      <c r="D408">
        <v>112.65</v>
      </c>
      <c r="E408">
        <v>111.7</v>
      </c>
      <c r="F408">
        <v>102.75</v>
      </c>
      <c r="G408">
        <v>101.85</v>
      </c>
      <c r="H408">
        <v>99.65</v>
      </c>
      <c r="I408">
        <v>98.7</v>
      </c>
      <c r="K408">
        <f t="shared" si="75"/>
        <v>-4.971414469777571E-4</v>
      </c>
      <c r="L408">
        <f t="shared" si="76"/>
        <v>0</v>
      </c>
      <c r="M408">
        <f t="shared" si="77"/>
        <v>-4.9079755586438573E-4</v>
      </c>
      <c r="N408">
        <f t="shared" si="78"/>
        <v>-1.5041366586144279E-3</v>
      </c>
      <c r="AB408">
        <f t="shared" si="70"/>
        <v>7.3471724335448833E-4</v>
      </c>
      <c r="AC408">
        <f t="shared" si="71"/>
        <v>-9.8419393996728214E-4</v>
      </c>
      <c r="AD408">
        <f t="shared" si="72"/>
        <v>-1.4234688745767309E-3</v>
      </c>
      <c r="AE408">
        <f t="shared" si="73"/>
        <v>1.1923716983860993E-4</v>
      </c>
      <c r="AF408">
        <f t="shared" si="74"/>
        <v>-3.3150258916582746E-5</v>
      </c>
      <c r="AG408">
        <f t="shared" si="79"/>
        <v>-1.0225835793072704E-3</v>
      </c>
    </row>
    <row r="409" spans="1:33" x14ac:dyDescent="0.3">
      <c r="A409" s="17">
        <v>45867</v>
      </c>
      <c r="B409">
        <v>101.05</v>
      </c>
      <c r="C409">
        <v>100.45</v>
      </c>
      <c r="D409">
        <v>112.75</v>
      </c>
      <c r="E409">
        <v>111.8</v>
      </c>
      <c r="F409">
        <v>102.65</v>
      </c>
      <c r="G409">
        <v>101.75</v>
      </c>
      <c r="H409">
        <v>99.5</v>
      </c>
      <c r="I409">
        <v>98.6</v>
      </c>
      <c r="K409">
        <f t="shared" si="75"/>
        <v>-9.9502495771755907E-4</v>
      </c>
      <c r="L409">
        <f t="shared" si="76"/>
        <v>8.948546458437055E-4</v>
      </c>
      <c r="M409">
        <f t="shared" si="77"/>
        <v>-9.8231835011045217E-4</v>
      </c>
      <c r="N409">
        <f t="shared" si="78"/>
        <v>-1.5064024942567204E-3</v>
      </c>
      <c r="AB409">
        <f t="shared" si="70"/>
        <v>-8.439660270162668E-5</v>
      </c>
      <c r="AC409">
        <f t="shared" si="71"/>
        <v>6.9030147274274311E-4</v>
      </c>
      <c r="AD409">
        <f t="shared" si="72"/>
        <v>-1.6153078260041907E-4</v>
      </c>
      <c r="AE409">
        <f t="shared" si="73"/>
        <v>4.0587803094776213E-4</v>
      </c>
      <c r="AF409">
        <f t="shared" si="74"/>
        <v>0</v>
      </c>
      <c r="AG409">
        <f t="shared" si="79"/>
        <v>9.0684712291686182E-4</v>
      </c>
    </row>
    <row r="410" spans="1:33" x14ac:dyDescent="0.3">
      <c r="A410" s="17">
        <v>45868</v>
      </c>
      <c r="B410">
        <v>100.95</v>
      </c>
      <c r="C410">
        <v>100.35</v>
      </c>
      <c r="D410">
        <v>112.75</v>
      </c>
      <c r="E410">
        <v>111.8</v>
      </c>
      <c r="F410">
        <v>102.75</v>
      </c>
      <c r="G410">
        <v>101.85</v>
      </c>
      <c r="H410">
        <v>99.5</v>
      </c>
      <c r="I410">
        <v>98.6</v>
      </c>
      <c r="K410">
        <f t="shared" si="75"/>
        <v>-9.96016018596328E-4</v>
      </c>
      <c r="L410">
        <f t="shared" si="76"/>
        <v>0</v>
      </c>
      <c r="M410">
        <f t="shared" si="77"/>
        <v>9.82318350110486E-4</v>
      </c>
      <c r="N410">
        <f t="shared" si="78"/>
        <v>0</v>
      </c>
      <c r="AB410">
        <f t="shared" si="70"/>
        <v>-2.1334312732593438E-3</v>
      </c>
      <c r="AC410">
        <f t="shared" si="71"/>
        <v>-1.4716595725625334E-4</v>
      </c>
      <c r="AD410">
        <f t="shared" si="72"/>
        <v>2.7802533815698646E-3</v>
      </c>
      <c r="AE410">
        <f t="shared" si="73"/>
        <v>-1.313670120415959E-3</v>
      </c>
      <c r="AF410">
        <f t="shared" si="74"/>
        <v>-1.6437290966079795E-5</v>
      </c>
      <c r="AG410">
        <f t="shared" si="79"/>
        <v>2.6978102550018809E-4</v>
      </c>
    </row>
    <row r="411" spans="1:33" x14ac:dyDescent="0.3">
      <c r="A411" s="17">
        <v>45869</v>
      </c>
      <c r="B411">
        <v>100.85</v>
      </c>
      <c r="C411">
        <v>100.25</v>
      </c>
      <c r="D411">
        <v>112.5</v>
      </c>
      <c r="E411">
        <v>111.55</v>
      </c>
      <c r="F411">
        <v>102.75</v>
      </c>
      <c r="G411">
        <v>101.85</v>
      </c>
      <c r="H411">
        <v>99.85</v>
      </c>
      <c r="I411">
        <v>98.95</v>
      </c>
      <c r="K411">
        <f t="shared" si="75"/>
        <v>-9.9700905566852218E-4</v>
      </c>
      <c r="L411">
        <f t="shared" si="76"/>
        <v>-2.2386398424572521E-3</v>
      </c>
      <c r="M411">
        <f t="shared" si="77"/>
        <v>0</v>
      </c>
      <c r="N411">
        <f t="shared" si="78"/>
        <v>3.5114156972771184E-3</v>
      </c>
      <c r="AB411">
        <f t="shared" si="70"/>
        <v>4.2250901951141945E-5</v>
      </c>
      <c r="AC411">
        <f t="shared" si="71"/>
        <v>7.3601319351372348E-5</v>
      </c>
      <c r="AD411">
        <f t="shared" si="72"/>
        <v>9.1952790563444391E-4</v>
      </c>
      <c r="AE411">
        <f t="shared" si="73"/>
        <v>0</v>
      </c>
      <c r="AF411">
        <f t="shared" si="74"/>
        <v>3.8685316147625169E-4</v>
      </c>
      <c r="AG411">
        <f t="shared" si="79"/>
        <v>7.6906616136493454E-5</v>
      </c>
    </row>
    <row r="412" spans="1:33" x14ac:dyDescent="0.3">
      <c r="A412" s="17">
        <v>45870</v>
      </c>
      <c r="B412">
        <v>100.9</v>
      </c>
      <c r="C412">
        <v>100.3</v>
      </c>
      <c r="D412">
        <v>112.45</v>
      </c>
      <c r="E412">
        <v>111.55</v>
      </c>
      <c r="F412">
        <v>102.75</v>
      </c>
      <c r="G412">
        <v>101.85</v>
      </c>
      <c r="H412">
        <v>99.95</v>
      </c>
      <c r="I412">
        <v>99.05</v>
      </c>
      <c r="K412">
        <f t="shared" si="75"/>
        <v>4.9862878121122655E-4</v>
      </c>
      <c r="L412">
        <f t="shared" si="76"/>
        <v>0</v>
      </c>
      <c r="M412">
        <f t="shared" si="77"/>
        <v>0</v>
      </c>
      <c r="N412">
        <f t="shared" si="78"/>
        <v>1.0010010845850261E-3</v>
      </c>
      <c r="AB412">
        <f t="shared" si="70"/>
        <v>2.626984029906498E-3</v>
      </c>
      <c r="AC412">
        <f t="shared" si="71"/>
        <v>1.130537969924962E-3</v>
      </c>
      <c r="AD412">
        <f t="shared" si="72"/>
        <v>1.1608848228189966E-3</v>
      </c>
      <c r="AE412">
        <f t="shared" si="73"/>
        <v>1.9815313334469839E-3</v>
      </c>
      <c r="AF412">
        <f t="shared" si="74"/>
        <v>2.0342749727741876E-3</v>
      </c>
      <c r="AG412">
        <f t="shared" si="79"/>
        <v>9.8278689398612453E-4</v>
      </c>
    </row>
    <row r="413" spans="1:33" x14ac:dyDescent="0.3">
      <c r="A413" s="17">
        <v>45873</v>
      </c>
      <c r="B413">
        <v>101.1</v>
      </c>
      <c r="C413">
        <v>100.5</v>
      </c>
      <c r="D413">
        <v>112.8</v>
      </c>
      <c r="E413">
        <v>111.85</v>
      </c>
      <c r="F413">
        <v>102.85</v>
      </c>
      <c r="G413">
        <v>101.95</v>
      </c>
      <c r="H413">
        <v>100.05</v>
      </c>
      <c r="I413">
        <v>99.15</v>
      </c>
      <c r="K413">
        <f t="shared" si="75"/>
        <v>1.9920325312405766E-3</v>
      </c>
      <c r="L413">
        <f t="shared" si="76"/>
        <v>2.6857670575969701E-3</v>
      </c>
      <c r="M413">
        <f t="shared" si="77"/>
        <v>9.8135434764935379E-4</v>
      </c>
      <c r="N413">
        <f t="shared" si="78"/>
        <v>1.000000083333275E-3</v>
      </c>
      <c r="AB413">
        <f t="shared" si="70"/>
        <v>1.6772794776561291E-3</v>
      </c>
      <c r="AC413">
        <f t="shared" si="71"/>
        <v>-3.447286811343156E-4</v>
      </c>
      <c r="AD413">
        <f t="shared" si="72"/>
        <v>2.1715647384917365E-3</v>
      </c>
      <c r="AE413">
        <f t="shared" si="73"/>
        <v>8.4566424093885642E-4</v>
      </c>
      <c r="AF413">
        <f t="shared" si="74"/>
        <v>2.0605639053821482E-3</v>
      </c>
      <c r="AG413">
        <f t="shared" si="79"/>
        <v>-2.6112864458926083E-4</v>
      </c>
    </row>
    <row r="414" spans="1:33" x14ac:dyDescent="0.3">
      <c r="A414" s="17">
        <v>45874</v>
      </c>
      <c r="B414">
        <v>101.15</v>
      </c>
      <c r="C414">
        <v>100.55</v>
      </c>
      <c r="D414">
        <v>113</v>
      </c>
      <c r="E414">
        <v>112.05</v>
      </c>
      <c r="F414">
        <v>102.8</v>
      </c>
      <c r="G414">
        <v>101.9</v>
      </c>
      <c r="H414">
        <v>100.3</v>
      </c>
      <c r="I414">
        <v>99.4</v>
      </c>
      <c r="K414">
        <f t="shared" si="75"/>
        <v>4.9738871953048736E-4</v>
      </c>
      <c r="L414">
        <f t="shared" si="76"/>
        <v>1.78651231079749E-3</v>
      </c>
      <c r="M414">
        <f t="shared" si="77"/>
        <v>-4.9055679178499853E-4</v>
      </c>
      <c r="N414">
        <f t="shared" si="78"/>
        <v>2.4956339381474037E-3</v>
      </c>
      <c r="AB414">
        <f t="shared" si="70"/>
        <v>3.6618155848082304E-4</v>
      </c>
      <c r="AC414">
        <f t="shared" si="71"/>
        <v>-7.3418277017660175E-5</v>
      </c>
      <c r="AD414">
        <f t="shared" si="72"/>
        <v>-8.0664956810263166E-5</v>
      </c>
      <c r="AE414">
        <f t="shared" si="73"/>
        <v>2.6179621122165503E-4</v>
      </c>
      <c r="AF414">
        <f t="shared" si="74"/>
        <v>2.7371569669038583E-4</v>
      </c>
      <c r="AG414">
        <f t="shared" si="79"/>
        <v>0</v>
      </c>
    </row>
    <row r="415" spans="1:33" x14ac:dyDescent="0.3">
      <c r="A415" s="17">
        <v>45875</v>
      </c>
      <c r="B415">
        <v>101.1</v>
      </c>
      <c r="C415">
        <v>100.5</v>
      </c>
      <c r="D415">
        <v>113.05</v>
      </c>
      <c r="E415">
        <v>112.1</v>
      </c>
      <c r="F415">
        <v>102.8</v>
      </c>
      <c r="G415">
        <v>101.9</v>
      </c>
      <c r="H415">
        <v>100.3</v>
      </c>
      <c r="I415">
        <v>99.4</v>
      </c>
      <c r="K415">
        <f t="shared" si="75"/>
        <v>-4.9738871953063037E-4</v>
      </c>
      <c r="L415">
        <f t="shared" si="76"/>
        <v>4.4612983117830188E-4</v>
      </c>
      <c r="M415">
        <f t="shared" si="77"/>
        <v>0</v>
      </c>
      <c r="N415">
        <f t="shared" si="78"/>
        <v>0</v>
      </c>
      <c r="AB415">
        <f t="shared" si="70"/>
        <v>1.3081609889959559E-3</v>
      </c>
      <c r="AC415">
        <f t="shared" si="71"/>
        <v>9.8288894681168647E-4</v>
      </c>
      <c r="AD415">
        <f t="shared" si="72"/>
        <v>3.0798106797120281E-3</v>
      </c>
      <c r="AE415">
        <f t="shared" si="73"/>
        <v>1.1899694503644215E-3</v>
      </c>
      <c r="AF415">
        <f t="shared" si="74"/>
        <v>2.1666538755739104E-3</v>
      </c>
      <c r="AG415">
        <f t="shared" si="79"/>
        <v>1.1731458460952644E-3</v>
      </c>
    </row>
    <row r="416" spans="1:33" x14ac:dyDescent="0.3">
      <c r="A416" s="17">
        <v>45876</v>
      </c>
      <c r="B416">
        <v>101.2</v>
      </c>
      <c r="C416">
        <v>100.6</v>
      </c>
      <c r="D416">
        <v>113.2</v>
      </c>
      <c r="E416">
        <v>112.25</v>
      </c>
      <c r="F416">
        <v>102.9</v>
      </c>
      <c r="G416">
        <v>102</v>
      </c>
      <c r="H416">
        <v>100.65</v>
      </c>
      <c r="I416">
        <v>99.75</v>
      </c>
      <c r="K416">
        <f t="shared" si="75"/>
        <v>9.945301665083635E-4</v>
      </c>
      <c r="L416">
        <f t="shared" si="76"/>
        <v>1.3371965442495609E-3</v>
      </c>
      <c r="M416">
        <f t="shared" si="77"/>
        <v>9.8087305559189236E-4</v>
      </c>
      <c r="N416">
        <f t="shared" si="78"/>
        <v>3.4834571179107776E-3</v>
      </c>
      <c r="AB416">
        <f t="shared" si="70"/>
        <v>5.1735498898876301E-3</v>
      </c>
      <c r="AC416">
        <f t="shared" si="71"/>
        <v>3.4325232059008491E-3</v>
      </c>
      <c r="AD416">
        <f t="shared" si="72"/>
        <v>9.793573396346645E-4</v>
      </c>
      <c r="AE416">
        <f t="shared" si="73"/>
        <v>4.5436640711167169E-3</v>
      </c>
      <c r="AF416">
        <f t="shared" si="74"/>
        <v>3.462671514423614E-3</v>
      </c>
      <c r="AG416">
        <f t="shared" si="79"/>
        <v>3.2004760560979412E-3</v>
      </c>
    </row>
    <row r="417" spans="1:33" x14ac:dyDescent="0.3">
      <c r="A417" s="17">
        <v>45877</v>
      </c>
      <c r="B417">
        <v>101.55</v>
      </c>
      <c r="C417">
        <v>100.95</v>
      </c>
      <c r="D417">
        <v>113.75</v>
      </c>
      <c r="E417">
        <v>112.85</v>
      </c>
      <c r="F417">
        <v>103.25</v>
      </c>
      <c r="G417">
        <v>102.35</v>
      </c>
      <c r="H417">
        <v>100.7</v>
      </c>
      <c r="I417">
        <v>99.8</v>
      </c>
      <c r="K417">
        <f t="shared" si="75"/>
        <v>3.4730870932078535E-3</v>
      </c>
      <c r="L417">
        <f t="shared" si="76"/>
        <v>5.3309766411810192E-3</v>
      </c>
      <c r="M417">
        <f t="shared" si="77"/>
        <v>3.4254988230274425E-3</v>
      </c>
      <c r="N417">
        <f t="shared" si="78"/>
        <v>4.9664763871599884E-4</v>
      </c>
      <c r="AB417">
        <f t="shared" si="70"/>
        <v>-3.0111134657666012E-3</v>
      </c>
      <c r="AC417">
        <f t="shared" si="71"/>
        <v>-7.0923917904152853E-4</v>
      </c>
      <c r="AD417">
        <f t="shared" si="72"/>
        <v>-2.4042041096594162E-3</v>
      </c>
      <c r="AE417">
        <f t="shared" si="73"/>
        <v>-2.0247141505741512E-3</v>
      </c>
      <c r="AF417">
        <f t="shared" si="74"/>
        <v>-2.8664510226517914E-3</v>
      </c>
      <c r="AG417">
        <f t="shared" si="79"/>
        <v>-6.4207339218142086E-4</v>
      </c>
    </row>
    <row r="418" spans="1:33" x14ac:dyDescent="0.3">
      <c r="A418" s="17">
        <v>45880</v>
      </c>
      <c r="B418">
        <v>101.35</v>
      </c>
      <c r="C418">
        <v>100.75</v>
      </c>
      <c r="D418">
        <v>113.45</v>
      </c>
      <c r="E418">
        <v>112.5</v>
      </c>
      <c r="F418">
        <v>103.2</v>
      </c>
      <c r="G418">
        <v>102.3</v>
      </c>
      <c r="H418">
        <v>100.45</v>
      </c>
      <c r="I418">
        <v>99.55</v>
      </c>
      <c r="K418">
        <f t="shared" si="75"/>
        <v>-1.9831439320541324E-3</v>
      </c>
      <c r="L418">
        <f t="shared" si="76"/>
        <v>-3.1062816190698746E-3</v>
      </c>
      <c r="M418">
        <f t="shared" si="77"/>
        <v>-4.8863914971771058E-4</v>
      </c>
      <c r="N418">
        <f t="shared" si="78"/>
        <v>-2.4857084635732181E-3</v>
      </c>
      <c r="AB418">
        <f t="shared" si="70"/>
        <v>1.5836324563322775E-3</v>
      </c>
      <c r="AC418">
        <f t="shared" si="71"/>
        <v>7.595488264380407E-4</v>
      </c>
      <c r="AD418">
        <f t="shared" si="72"/>
        <v>-8.0504788113066412E-5</v>
      </c>
      <c r="AE418">
        <f t="shared" si="73"/>
        <v>1.4459995357050841E-3</v>
      </c>
      <c r="AF418">
        <f t="shared" si="74"/>
        <v>1.0897582331397548E-3</v>
      </c>
      <c r="AG418">
        <f t="shared" si="79"/>
        <v>9.0197398176223762E-4</v>
      </c>
    </row>
    <row r="419" spans="1:33" x14ac:dyDescent="0.3">
      <c r="A419" s="17">
        <v>45881</v>
      </c>
      <c r="B419">
        <v>101.3</v>
      </c>
      <c r="C419">
        <v>100.7</v>
      </c>
      <c r="D419">
        <v>113.65</v>
      </c>
      <c r="E419">
        <v>112.7</v>
      </c>
      <c r="F419">
        <v>103.3</v>
      </c>
      <c r="G419">
        <v>102.4</v>
      </c>
      <c r="H419">
        <v>100.45</v>
      </c>
      <c r="I419">
        <v>99.55</v>
      </c>
      <c r="K419">
        <f t="shared" si="75"/>
        <v>-4.9640110227577991E-4</v>
      </c>
      <c r="L419">
        <f t="shared" si="76"/>
        <v>1.7761994012558946E-3</v>
      </c>
      <c r="M419">
        <f t="shared" si="77"/>
        <v>9.7703964782661188E-4</v>
      </c>
      <c r="N419">
        <f t="shared" si="78"/>
        <v>0</v>
      </c>
      <c r="AB419">
        <f t="shared" si="70"/>
        <v>2.1010222048240573E-4</v>
      </c>
      <c r="AC419">
        <f t="shared" si="71"/>
        <v>-5.0309647396582749E-5</v>
      </c>
      <c r="AD419">
        <f t="shared" si="72"/>
        <v>-1.5013814875468887E-5</v>
      </c>
      <c r="AE419">
        <f t="shared" si="73"/>
        <v>-2.0179917484396508E-4</v>
      </c>
      <c r="AF419">
        <f t="shared" si="74"/>
        <v>-1.9241537666317367E-4</v>
      </c>
      <c r="AG419">
        <f t="shared" si="79"/>
        <v>-4.8912911299832157E-4</v>
      </c>
    </row>
    <row r="420" spans="1:33" x14ac:dyDescent="0.3">
      <c r="A420" s="17">
        <v>45882</v>
      </c>
      <c r="B420">
        <v>101.55</v>
      </c>
      <c r="C420">
        <v>100.95</v>
      </c>
      <c r="D420">
        <v>113.65</v>
      </c>
      <c r="E420">
        <v>112.7</v>
      </c>
      <c r="F420">
        <v>103.25</v>
      </c>
      <c r="G420">
        <v>102.35</v>
      </c>
      <c r="H420">
        <v>100.4</v>
      </c>
      <c r="I420">
        <v>99.5</v>
      </c>
      <c r="K420">
        <f t="shared" si="75"/>
        <v>2.479545034329921E-3</v>
      </c>
      <c r="L420">
        <f t="shared" si="76"/>
        <v>0</v>
      </c>
      <c r="M420">
        <f t="shared" si="77"/>
        <v>-4.8840049810898554E-4</v>
      </c>
      <c r="N420">
        <f t="shared" si="78"/>
        <v>-4.9788400331451617E-4</v>
      </c>
      <c r="AB420">
        <f t="shared" si="70"/>
        <v>3.7311847038901747E-3</v>
      </c>
      <c r="AC420">
        <f t="shared" si="71"/>
        <v>2.2256604616300996E-3</v>
      </c>
      <c r="AD420">
        <f t="shared" si="72"/>
        <v>-6.7432982979134966E-4</v>
      </c>
      <c r="AE420">
        <f t="shared" si="73"/>
        <v>3.3464455415287446E-3</v>
      </c>
      <c r="AF420">
        <f t="shared" si="74"/>
        <v>2.0597834539084125E-3</v>
      </c>
      <c r="AG420">
        <f t="shared" si="79"/>
        <v>2.1756235573660372E-3</v>
      </c>
    </row>
    <row r="421" spans="1:33" x14ac:dyDescent="0.3">
      <c r="A421" s="17">
        <v>45883</v>
      </c>
      <c r="B421">
        <v>101.65</v>
      </c>
      <c r="C421">
        <v>101.05</v>
      </c>
      <c r="D421">
        <v>114.1</v>
      </c>
      <c r="E421">
        <v>113.15</v>
      </c>
      <c r="F421">
        <v>103.5</v>
      </c>
      <c r="G421">
        <v>102.6</v>
      </c>
      <c r="H421">
        <v>100.3</v>
      </c>
      <c r="I421">
        <v>99.4</v>
      </c>
      <c r="K421">
        <f t="shared" si="75"/>
        <v>9.9009909078351084E-4</v>
      </c>
      <c r="L421">
        <f t="shared" si="76"/>
        <v>3.984951033815764E-3</v>
      </c>
      <c r="M421">
        <f t="shared" si="77"/>
        <v>2.439620629370707E-3</v>
      </c>
      <c r="N421">
        <f t="shared" si="78"/>
        <v>-9.9651228973908447E-4</v>
      </c>
      <c r="AB421">
        <f t="shared" si="70"/>
        <v>-3.2832538336006628E-3</v>
      </c>
      <c r="AC421">
        <f t="shared" si="71"/>
        <v>-1.3201547040525995E-3</v>
      </c>
      <c r="AD421">
        <f t="shared" si="72"/>
        <v>-8.0265724144521668E-5</v>
      </c>
      <c r="AE421">
        <f t="shared" si="73"/>
        <v>-2.6826590725448399E-3</v>
      </c>
      <c r="AF421">
        <f t="shared" si="74"/>
        <v>-2.1727644627642724E-3</v>
      </c>
      <c r="AG421">
        <f t="shared" si="79"/>
        <v>-1.3506517360181401E-3</v>
      </c>
    </row>
    <row r="422" spans="1:33" x14ac:dyDescent="0.3">
      <c r="A422" s="17">
        <v>45884</v>
      </c>
      <c r="B422">
        <v>101.6</v>
      </c>
      <c r="C422">
        <v>101</v>
      </c>
      <c r="D422">
        <v>113.65</v>
      </c>
      <c r="E422">
        <v>112.75</v>
      </c>
      <c r="F422">
        <v>103.35</v>
      </c>
      <c r="G422">
        <v>102.45</v>
      </c>
      <c r="H422">
        <v>100.3</v>
      </c>
      <c r="I422">
        <v>99.4</v>
      </c>
      <c r="K422">
        <f t="shared" si="75"/>
        <v>-4.9492700837054085E-4</v>
      </c>
      <c r="L422">
        <f t="shared" si="76"/>
        <v>-3.5413936967586632E-3</v>
      </c>
      <c r="M422">
        <f t="shared" si="77"/>
        <v>-1.4630580517603286E-3</v>
      </c>
      <c r="N422">
        <f t="shared" si="78"/>
        <v>0</v>
      </c>
      <c r="AB422">
        <f t="shared" si="70"/>
        <v>0</v>
      </c>
      <c r="AC422">
        <f t="shared" si="71"/>
        <v>0</v>
      </c>
      <c r="AD422">
        <f t="shared" si="72"/>
        <v>0</v>
      </c>
      <c r="AE422">
        <f t="shared" si="73"/>
        <v>0</v>
      </c>
      <c r="AF422">
        <f t="shared" si="74"/>
        <v>0</v>
      </c>
      <c r="AG422">
        <f t="shared" si="79"/>
        <v>0</v>
      </c>
    </row>
    <row r="423" spans="1:33" x14ac:dyDescent="0.3">
      <c r="A423" s="17">
        <v>45887</v>
      </c>
      <c r="B423">
        <v>101.6</v>
      </c>
      <c r="C423">
        <v>101</v>
      </c>
      <c r="D423">
        <v>113.65</v>
      </c>
      <c r="E423">
        <v>112.75</v>
      </c>
      <c r="F423">
        <v>103.35</v>
      </c>
      <c r="G423">
        <v>102.45</v>
      </c>
      <c r="H423">
        <v>100.3</v>
      </c>
      <c r="I423">
        <v>99.4</v>
      </c>
      <c r="K423">
        <f t="shared" si="75"/>
        <v>0</v>
      </c>
      <c r="L423">
        <f t="shared" si="76"/>
        <v>0</v>
      </c>
      <c r="M423">
        <f t="shared" si="77"/>
        <v>0</v>
      </c>
      <c r="N423">
        <f t="shared" si="78"/>
        <v>0</v>
      </c>
      <c r="AB423">
        <f t="shared" si="70"/>
        <v>-1.176521987818137E-3</v>
      </c>
      <c r="AC423">
        <f t="shared" si="71"/>
        <v>-7.5935976256837133E-4</v>
      </c>
      <c r="AD423">
        <f t="shared" si="72"/>
        <v>8.0265724144525815E-5</v>
      </c>
      <c r="AE423">
        <f t="shared" si="73"/>
        <v>-1.184706341381205E-3</v>
      </c>
      <c r="AF423">
        <f t="shared" si="74"/>
        <v>-8.167745479038663E-4</v>
      </c>
      <c r="AG423">
        <f t="shared" si="79"/>
        <v>-9.0153356470898795E-4</v>
      </c>
    </row>
    <row r="424" spans="1:33" x14ac:dyDescent="0.3">
      <c r="A424" s="17">
        <v>45888</v>
      </c>
      <c r="B424">
        <v>101.65</v>
      </c>
      <c r="C424">
        <v>101.05</v>
      </c>
      <c r="D424">
        <v>113.55</v>
      </c>
      <c r="E424">
        <v>112.6</v>
      </c>
      <c r="F424">
        <v>103.25</v>
      </c>
      <c r="G424">
        <v>102.35</v>
      </c>
      <c r="H424">
        <v>100.3</v>
      </c>
      <c r="I424">
        <v>99.4</v>
      </c>
      <c r="K424">
        <f t="shared" si="75"/>
        <v>4.9492700837056643E-4</v>
      </c>
      <c r="L424">
        <f t="shared" si="76"/>
        <v>-1.3312626771977329E-3</v>
      </c>
      <c r="M424">
        <f t="shared" si="77"/>
        <v>-9.7656257761028127E-4</v>
      </c>
      <c r="N424">
        <f t="shared" si="78"/>
        <v>0</v>
      </c>
      <c r="AB424">
        <f t="shared" si="70"/>
        <v>-5.3238783022861464E-4</v>
      </c>
      <c r="AC424">
        <f t="shared" si="71"/>
        <v>1.9703565898583817E-4</v>
      </c>
      <c r="AD424">
        <f t="shared" si="72"/>
        <v>-2.4091644785438729E-4</v>
      </c>
      <c r="AE424">
        <f t="shared" si="73"/>
        <v>-5.8834272798442594E-5</v>
      </c>
      <c r="AF424">
        <f t="shared" si="74"/>
        <v>-2.7249999291191891E-4</v>
      </c>
      <c r="AG424">
        <f t="shared" si="79"/>
        <v>4.5087683284299391E-4</v>
      </c>
    </row>
    <row r="425" spans="1:33" x14ac:dyDescent="0.3">
      <c r="A425" s="17">
        <v>45889</v>
      </c>
      <c r="B425">
        <v>101.5</v>
      </c>
      <c r="C425">
        <v>100.9</v>
      </c>
      <c r="D425">
        <v>113.5</v>
      </c>
      <c r="E425">
        <v>112.55</v>
      </c>
      <c r="F425">
        <v>103.3</v>
      </c>
      <c r="G425">
        <v>102.4</v>
      </c>
      <c r="H425">
        <v>100.3</v>
      </c>
      <c r="I425">
        <v>99.4</v>
      </c>
      <c r="K425">
        <f t="shared" si="75"/>
        <v>-1.485516490066669E-3</v>
      </c>
      <c r="L425">
        <f t="shared" si="76"/>
        <v>-4.4414835284874968E-4</v>
      </c>
      <c r="M425">
        <f t="shared" si="77"/>
        <v>4.8840049810906869E-4</v>
      </c>
      <c r="N425">
        <f t="shared" si="78"/>
        <v>0</v>
      </c>
      <c r="AB425">
        <f t="shared" si="70"/>
        <v>4.7551679569797344E-3</v>
      </c>
      <c r="AC425">
        <f t="shared" si="71"/>
        <v>4.2487909999830899E-3</v>
      </c>
      <c r="AD425">
        <f t="shared" si="72"/>
        <v>2.2305535624616317E-3</v>
      </c>
      <c r="AE425">
        <f t="shared" si="73"/>
        <v>4.6723919524452526E-3</v>
      </c>
      <c r="AF425">
        <f t="shared" si="74"/>
        <v>3.7607172666636731E-3</v>
      </c>
      <c r="AG425">
        <f t="shared" si="79"/>
        <v>4.2010599279549759E-3</v>
      </c>
    </row>
    <row r="426" spans="1:33" x14ac:dyDescent="0.3">
      <c r="A426" s="17">
        <v>45890</v>
      </c>
      <c r="B426">
        <v>101.85</v>
      </c>
      <c r="C426">
        <v>101.25</v>
      </c>
      <c r="D426">
        <v>114.05</v>
      </c>
      <c r="E426">
        <v>113.1</v>
      </c>
      <c r="F426">
        <v>103.75</v>
      </c>
      <c r="G426">
        <v>102.85</v>
      </c>
      <c r="H426">
        <v>100.5</v>
      </c>
      <c r="I426">
        <v>99.6</v>
      </c>
      <c r="K426">
        <f t="shared" si="75"/>
        <v>3.4627786270851556E-3</v>
      </c>
      <c r="L426">
        <f t="shared" si="76"/>
        <v>4.8748157693334071E-3</v>
      </c>
      <c r="M426">
        <f t="shared" si="77"/>
        <v>4.3849034935585438E-3</v>
      </c>
      <c r="N426">
        <f t="shared" si="78"/>
        <v>1.9920325312405766E-3</v>
      </c>
      <c r="AB426">
        <f t="shared" si="70"/>
        <v>6.4135435726079485E-4</v>
      </c>
      <c r="AC426">
        <f t="shared" si="71"/>
        <v>-1.1210343125766559E-3</v>
      </c>
      <c r="AD426">
        <f t="shared" si="72"/>
        <v>-3.2066622869067539E-4</v>
      </c>
      <c r="AE426">
        <f t="shared" si="73"/>
        <v>1.1668817207940459E-4</v>
      </c>
      <c r="AF426">
        <f t="shared" si="74"/>
        <v>5.4223045858586469E-4</v>
      </c>
      <c r="AG426">
        <f t="shared" si="79"/>
        <v>-8.9802565145145614E-4</v>
      </c>
    </row>
    <row r="427" spans="1:33" x14ac:dyDescent="0.3">
      <c r="A427" s="17">
        <v>45891</v>
      </c>
      <c r="B427">
        <v>101.65</v>
      </c>
      <c r="C427">
        <v>101.05</v>
      </c>
      <c r="D427">
        <v>114.15</v>
      </c>
      <c r="E427">
        <v>113.2</v>
      </c>
      <c r="F427">
        <v>103.65</v>
      </c>
      <c r="G427">
        <v>102.75</v>
      </c>
      <c r="H427">
        <v>100.5</v>
      </c>
      <c r="I427">
        <v>99.6</v>
      </c>
      <c r="K427">
        <f t="shared" si="75"/>
        <v>-1.9772621370185667E-3</v>
      </c>
      <c r="L427">
        <f t="shared" si="76"/>
        <v>8.8378264700791573E-4</v>
      </c>
      <c r="M427">
        <f t="shared" si="77"/>
        <v>-9.7276272262217071E-4</v>
      </c>
      <c r="N427">
        <f t="shared" si="78"/>
        <v>0</v>
      </c>
      <c r="AB427">
        <f t="shared" si="70"/>
        <v>1.7413378976904488E-3</v>
      </c>
      <c r="AC427">
        <f t="shared" si="71"/>
        <v>1.0481237440895647E-3</v>
      </c>
      <c r="AD427">
        <f t="shared" si="72"/>
        <v>2.3221082576098911E-3</v>
      </c>
      <c r="AE427">
        <f t="shared" si="73"/>
        <v>1.4377927308954679E-3</v>
      </c>
      <c r="AF427">
        <f t="shared" si="74"/>
        <v>2.0431905445837408E-3</v>
      </c>
      <c r="AG427">
        <f t="shared" si="79"/>
        <v>1.0889069995880961E-3</v>
      </c>
    </row>
    <row r="428" spans="1:33" x14ac:dyDescent="0.3">
      <c r="A428" s="17">
        <v>45894</v>
      </c>
      <c r="B428">
        <v>101.8</v>
      </c>
      <c r="C428">
        <v>101.2</v>
      </c>
      <c r="D428">
        <v>114.35</v>
      </c>
      <c r="E428">
        <v>113.4</v>
      </c>
      <c r="F428">
        <v>103.75</v>
      </c>
      <c r="G428">
        <v>102.85</v>
      </c>
      <c r="H428">
        <v>100.75</v>
      </c>
      <c r="I428">
        <v>99.85</v>
      </c>
      <c r="K428">
        <f t="shared" si="75"/>
        <v>1.4833130037351886E-3</v>
      </c>
      <c r="L428">
        <f t="shared" si="76"/>
        <v>1.7652255245691492E-3</v>
      </c>
      <c r="M428">
        <f t="shared" si="77"/>
        <v>9.7276272262214155E-4</v>
      </c>
      <c r="N428">
        <f t="shared" si="78"/>
        <v>2.4844733276619658E-3</v>
      </c>
      <c r="AB428">
        <f t="shared" si="70"/>
        <v>-4.4552041066802924E-4</v>
      </c>
      <c r="AC428">
        <f t="shared" si="71"/>
        <v>-7.2946600397829153E-5</v>
      </c>
      <c r="AD428">
        <f t="shared" si="72"/>
        <v>1.5813770883160443E-3</v>
      </c>
      <c r="AE428">
        <f t="shared" si="73"/>
        <v>-2.5879435820570735E-4</v>
      </c>
      <c r="AF428">
        <f t="shared" si="74"/>
        <v>4.9584107987387359E-4</v>
      </c>
      <c r="AG428">
        <f t="shared" si="79"/>
        <v>1.5236435951429509E-4</v>
      </c>
    </row>
    <row r="429" spans="1:33" x14ac:dyDescent="0.3">
      <c r="A429" s="17">
        <v>45895</v>
      </c>
      <c r="B429">
        <v>101.75</v>
      </c>
      <c r="C429">
        <v>101.15</v>
      </c>
      <c r="D429">
        <v>114.3</v>
      </c>
      <c r="E429">
        <v>113.35</v>
      </c>
      <c r="F429">
        <v>103.75</v>
      </c>
      <c r="G429">
        <v>102.85</v>
      </c>
      <c r="H429">
        <v>100.95</v>
      </c>
      <c r="I429">
        <v>100</v>
      </c>
      <c r="K429">
        <f t="shared" si="75"/>
        <v>-4.9419323961063914E-4</v>
      </c>
      <c r="L429">
        <f t="shared" si="76"/>
        <v>-4.4101434011379243E-4</v>
      </c>
      <c r="M429">
        <f t="shared" si="77"/>
        <v>0</v>
      </c>
      <c r="N429">
        <f t="shared" si="78"/>
        <v>1.9831439320542469E-3</v>
      </c>
      <c r="AB429">
        <f t="shared" si="70"/>
        <v>1.3777786207784467E-3</v>
      </c>
      <c r="AC429">
        <f t="shared" si="71"/>
        <v>2.9157035238718307E-4</v>
      </c>
      <c r="AD429">
        <f t="shared" si="72"/>
        <v>-9.4722623966223571E-5</v>
      </c>
      <c r="AE429">
        <f t="shared" si="73"/>
        <v>7.7604093001179542E-4</v>
      </c>
      <c r="AF429">
        <f t="shared" si="74"/>
        <v>6.1991167151071965E-4</v>
      </c>
      <c r="AG429">
        <f t="shared" si="79"/>
        <v>-3.8062771700002906E-5</v>
      </c>
    </row>
    <row r="430" spans="1:33" x14ac:dyDescent="0.3">
      <c r="A430" s="17">
        <v>45896</v>
      </c>
      <c r="B430">
        <v>101.95</v>
      </c>
      <c r="C430">
        <v>101.35</v>
      </c>
      <c r="D430">
        <v>114.45</v>
      </c>
      <c r="E430">
        <v>113.5</v>
      </c>
      <c r="F430">
        <v>103.75</v>
      </c>
      <c r="G430">
        <v>102.85</v>
      </c>
      <c r="H430">
        <v>100.9</v>
      </c>
      <c r="I430">
        <v>100</v>
      </c>
      <c r="K430">
        <f t="shared" si="75"/>
        <v>1.9753092842545372E-3</v>
      </c>
      <c r="L430">
        <f t="shared" si="76"/>
        <v>1.3224599679194165E-3</v>
      </c>
      <c r="M430">
        <f t="shared" si="77"/>
        <v>0</v>
      </c>
      <c r="N430">
        <f t="shared" si="78"/>
        <v>-4.9541739928322828E-4</v>
      </c>
      <c r="AB430">
        <f t="shared" si="70"/>
        <v>4.4490446194149171E-4</v>
      </c>
      <c r="AC430">
        <f t="shared" si="71"/>
        <v>9.0117258318052665E-4</v>
      </c>
      <c r="AD430">
        <f t="shared" si="72"/>
        <v>7.998860449380818E-5</v>
      </c>
      <c r="AE430">
        <f t="shared" si="73"/>
        <v>6.5999161259159634E-4</v>
      </c>
      <c r="AF430">
        <f t="shared" si="74"/>
        <v>2.702196581691323E-4</v>
      </c>
      <c r="AG430">
        <f t="shared" si="79"/>
        <v>8.9715293445157885E-4</v>
      </c>
    </row>
    <row r="431" spans="1:33" x14ac:dyDescent="0.3">
      <c r="A431" s="17">
        <v>45897</v>
      </c>
      <c r="B431">
        <v>102</v>
      </c>
      <c r="C431">
        <v>101.4</v>
      </c>
      <c r="D431">
        <v>114.5</v>
      </c>
      <c r="E431">
        <v>113.55</v>
      </c>
      <c r="F431">
        <v>103.85</v>
      </c>
      <c r="G431">
        <v>102.95</v>
      </c>
      <c r="H431">
        <v>100.9</v>
      </c>
      <c r="I431">
        <v>100</v>
      </c>
      <c r="K431">
        <f t="shared" si="75"/>
        <v>4.9321825907375054E-4</v>
      </c>
      <c r="L431">
        <f t="shared" si="76"/>
        <v>4.4043163011004549E-4</v>
      </c>
      <c r="M431">
        <f t="shared" si="77"/>
        <v>9.718173748322639E-4</v>
      </c>
      <c r="N431">
        <f t="shared" si="78"/>
        <v>0</v>
      </c>
      <c r="AB431">
        <f t="shared" si="70"/>
        <v>8.8921489709074635E-4</v>
      </c>
      <c r="AC431">
        <f t="shared" si="71"/>
        <v>-1.512047864096923E-3</v>
      </c>
      <c r="AD431">
        <f t="shared" si="72"/>
        <v>-1.5024890305515848E-3</v>
      </c>
      <c r="AE431">
        <f t="shared" si="73"/>
        <v>-2.8690541081541907E-4</v>
      </c>
      <c r="AF431">
        <f t="shared" si="74"/>
        <v>-2.2671587995630644E-4</v>
      </c>
      <c r="AG431">
        <f t="shared" si="79"/>
        <v>-1.9476185230262366E-3</v>
      </c>
    </row>
    <row r="432" spans="1:33" x14ac:dyDescent="0.3">
      <c r="A432" s="17">
        <v>45898</v>
      </c>
      <c r="B432">
        <v>102.1</v>
      </c>
      <c r="C432">
        <v>101.5</v>
      </c>
      <c r="D432">
        <v>114.55</v>
      </c>
      <c r="E432">
        <v>113.65</v>
      </c>
      <c r="F432">
        <v>103.65</v>
      </c>
      <c r="G432">
        <v>102.75</v>
      </c>
      <c r="H432">
        <v>100.7</v>
      </c>
      <c r="I432">
        <v>99.8</v>
      </c>
      <c r="K432">
        <f t="shared" si="75"/>
        <v>9.8570732475912817E-4</v>
      </c>
      <c r="L432">
        <f t="shared" si="76"/>
        <v>8.8028174698484237E-4</v>
      </c>
      <c r="M432">
        <f t="shared" si="77"/>
        <v>-1.9445800974544915E-3</v>
      </c>
      <c r="N432">
        <f t="shared" si="78"/>
        <v>-1.9841276350467041E-3</v>
      </c>
      <c r="AB432">
        <f t="shared" si="70"/>
        <v>0</v>
      </c>
      <c r="AC432">
        <f t="shared" si="71"/>
        <v>0</v>
      </c>
      <c r="AD432">
        <f t="shared" si="72"/>
        <v>0</v>
      </c>
      <c r="AE432">
        <f t="shared" si="73"/>
        <v>0</v>
      </c>
      <c r="AF432">
        <f t="shared" si="74"/>
        <v>0</v>
      </c>
      <c r="AG432">
        <f t="shared" si="79"/>
        <v>0</v>
      </c>
    </row>
    <row r="433" spans="1:33" x14ac:dyDescent="0.3">
      <c r="A433" s="17">
        <v>45901</v>
      </c>
      <c r="B433">
        <v>102.1</v>
      </c>
      <c r="C433">
        <v>101.5</v>
      </c>
      <c r="D433">
        <v>114.55</v>
      </c>
      <c r="E433">
        <v>113.65</v>
      </c>
      <c r="F433">
        <v>103.65</v>
      </c>
      <c r="G433">
        <v>102.75</v>
      </c>
      <c r="H433">
        <v>100.7</v>
      </c>
      <c r="I433">
        <v>99.8</v>
      </c>
      <c r="K433">
        <f t="shared" si="75"/>
        <v>0</v>
      </c>
      <c r="L433">
        <f t="shared" si="76"/>
        <v>0</v>
      </c>
      <c r="M433">
        <f t="shared" si="77"/>
        <v>0</v>
      </c>
      <c r="N433">
        <f t="shared" si="78"/>
        <v>0</v>
      </c>
      <c r="AB433">
        <f t="shared" si="70"/>
        <v>-5.698858605917461E-4</v>
      </c>
      <c r="AC433">
        <f t="shared" si="71"/>
        <v>-5.7005314839740449E-3</v>
      </c>
      <c r="AD433">
        <f t="shared" si="72"/>
        <v>-1.9855284811249596E-3</v>
      </c>
      <c r="AE433">
        <f t="shared" si="73"/>
        <v>-2.8803423354542943E-3</v>
      </c>
      <c r="AF433">
        <f t="shared" si="74"/>
        <v>-1.0383047105334965E-3</v>
      </c>
      <c r="AG433">
        <f t="shared" si="79"/>
        <v>-6.0113000586396303E-3</v>
      </c>
    </row>
    <row r="434" spans="1:33" x14ac:dyDescent="0.3">
      <c r="A434" s="17">
        <v>45902</v>
      </c>
      <c r="B434">
        <v>101.9</v>
      </c>
      <c r="C434">
        <v>101.3</v>
      </c>
      <c r="D434">
        <v>114.55</v>
      </c>
      <c r="E434">
        <v>113.6</v>
      </c>
      <c r="F434">
        <v>103</v>
      </c>
      <c r="G434">
        <v>102.1</v>
      </c>
      <c r="H434">
        <v>100.5</v>
      </c>
      <c r="I434">
        <v>99.6</v>
      </c>
      <c r="K434">
        <f t="shared" si="75"/>
        <v>-1.9723872272043464E-3</v>
      </c>
      <c r="L434">
        <f t="shared" si="76"/>
        <v>-4.4004401150133103E-4</v>
      </c>
      <c r="M434">
        <f t="shared" si="77"/>
        <v>-6.3461282057241533E-3</v>
      </c>
      <c r="N434">
        <f t="shared" si="78"/>
        <v>-1.9880722253861915E-3</v>
      </c>
      <c r="AB434">
        <f t="shared" si="70"/>
        <v>-1.2930242927633694E-3</v>
      </c>
      <c r="AC434">
        <f t="shared" si="71"/>
        <v>-1.4578514064162465E-4</v>
      </c>
      <c r="AD434">
        <f t="shared" si="72"/>
        <v>-1.8291456074046762E-3</v>
      </c>
      <c r="AE434">
        <f t="shared" si="73"/>
        <v>-7.7535734388007552E-4</v>
      </c>
      <c r="AF434">
        <f t="shared" si="74"/>
        <v>-1.5805124734503051E-3</v>
      </c>
      <c r="AG434">
        <f t="shared" si="79"/>
        <v>-1.5304726795080636E-4</v>
      </c>
    </row>
    <row r="435" spans="1:33" x14ac:dyDescent="0.3">
      <c r="A435" s="17">
        <v>45903</v>
      </c>
      <c r="B435">
        <v>101.8</v>
      </c>
      <c r="C435">
        <v>101.2</v>
      </c>
      <c r="D435">
        <v>114.4</v>
      </c>
      <c r="E435">
        <v>113.45</v>
      </c>
      <c r="F435">
        <v>103</v>
      </c>
      <c r="G435">
        <v>102.1</v>
      </c>
      <c r="H435">
        <v>100.3</v>
      </c>
      <c r="I435">
        <v>99.4</v>
      </c>
      <c r="K435">
        <f t="shared" si="75"/>
        <v>-9.876544012724297E-4</v>
      </c>
      <c r="L435">
        <f t="shared" si="76"/>
        <v>-1.3212950612001141E-3</v>
      </c>
      <c r="M435">
        <f t="shared" si="77"/>
        <v>0</v>
      </c>
      <c r="N435">
        <f t="shared" si="78"/>
        <v>-1.9920325312406525E-3</v>
      </c>
      <c r="AB435">
        <f t="shared" si="70"/>
        <v>-1.2109362091326191E-3</v>
      </c>
      <c r="AC435">
        <f t="shared" si="71"/>
        <v>2.5009090520352597E-3</v>
      </c>
      <c r="AD435">
        <f t="shared" si="72"/>
        <v>1.2520397463464527E-3</v>
      </c>
      <c r="AE435">
        <f t="shared" si="73"/>
        <v>4.3589290886161423E-4</v>
      </c>
      <c r="AF435">
        <f t="shared" si="74"/>
        <v>-2.3419784616270263E-4</v>
      </c>
      <c r="AG435">
        <f t="shared" si="79"/>
        <v>2.8233840747755095E-3</v>
      </c>
    </row>
    <row r="436" spans="1:33" x14ac:dyDescent="0.3">
      <c r="A436" s="17">
        <v>45904</v>
      </c>
      <c r="B436">
        <v>101.8</v>
      </c>
      <c r="C436">
        <v>101.2</v>
      </c>
      <c r="D436">
        <v>114.25</v>
      </c>
      <c r="E436">
        <v>113.3</v>
      </c>
      <c r="F436">
        <v>103.3</v>
      </c>
      <c r="G436">
        <v>102.4</v>
      </c>
      <c r="H436">
        <v>100.45</v>
      </c>
      <c r="I436">
        <v>99.55</v>
      </c>
      <c r="K436">
        <f t="shared" si="75"/>
        <v>0</v>
      </c>
      <c r="L436">
        <f t="shared" si="76"/>
        <v>-1.3230431918901959E-3</v>
      </c>
      <c r="M436">
        <f t="shared" si="77"/>
        <v>2.9339874347875704E-3</v>
      </c>
      <c r="N436">
        <f t="shared" si="78"/>
        <v>1.4943962930537263E-3</v>
      </c>
      <c r="AB436">
        <f t="shared" si="70"/>
        <v>0</v>
      </c>
      <c r="AC436">
        <f t="shared" si="71"/>
        <v>0</v>
      </c>
      <c r="AD436">
        <f t="shared" si="72"/>
        <v>0</v>
      </c>
      <c r="AE436">
        <f t="shared" si="73"/>
        <v>0</v>
      </c>
      <c r="AF436">
        <f t="shared" si="74"/>
        <v>0</v>
      </c>
      <c r="AG436">
        <f t="shared" si="79"/>
        <v>0</v>
      </c>
    </row>
    <row r="437" spans="1:33" x14ac:dyDescent="0.3">
      <c r="A437" s="17">
        <v>45905</v>
      </c>
      <c r="B437">
        <v>101.8</v>
      </c>
      <c r="C437">
        <v>101.2</v>
      </c>
      <c r="D437">
        <v>114.25</v>
      </c>
      <c r="E437">
        <v>113.3</v>
      </c>
      <c r="F437">
        <v>103.3</v>
      </c>
      <c r="G437">
        <v>102.4</v>
      </c>
      <c r="H437">
        <v>100.45</v>
      </c>
      <c r="I437">
        <v>99.55</v>
      </c>
      <c r="K437">
        <f t="shared" si="75"/>
        <v>0</v>
      </c>
      <c r="L437">
        <f t="shared" si="76"/>
        <v>0</v>
      </c>
      <c r="M437">
        <f t="shared" si="77"/>
        <v>0</v>
      </c>
      <c r="N437">
        <f t="shared" si="78"/>
        <v>0</v>
      </c>
      <c r="AB437">
        <f t="shared" si="70"/>
        <v>1.4617529155253961E-3</v>
      </c>
      <c r="AC437">
        <f t="shared" si="71"/>
        <v>2.1001296928089019E-3</v>
      </c>
      <c r="AD437">
        <f t="shared" si="72"/>
        <v>8.969814920249654E-4</v>
      </c>
      <c r="AE437">
        <f t="shared" si="73"/>
        <v>1.5825957282040299E-3</v>
      </c>
      <c r="AF437">
        <f t="shared" si="74"/>
        <v>1.0040512402711321E-3</v>
      </c>
      <c r="AG437">
        <f t="shared" si="79"/>
        <v>1.8395417123183431E-3</v>
      </c>
    </row>
    <row r="438" spans="1:33" x14ac:dyDescent="0.3">
      <c r="A438" s="17">
        <v>45908</v>
      </c>
      <c r="B438">
        <v>102.1</v>
      </c>
      <c r="C438">
        <v>101.5</v>
      </c>
      <c r="D438">
        <v>114.4</v>
      </c>
      <c r="E438">
        <v>113.45</v>
      </c>
      <c r="F438">
        <v>103.5</v>
      </c>
      <c r="G438">
        <v>102.6</v>
      </c>
      <c r="H438">
        <v>100.5</v>
      </c>
      <c r="I438">
        <v>99.6</v>
      </c>
      <c r="K438">
        <f t="shared" si="75"/>
        <v>2.9600416284767256E-3</v>
      </c>
      <c r="L438">
        <f t="shared" si="76"/>
        <v>1.323043191890143E-3</v>
      </c>
      <c r="M438">
        <f t="shared" si="77"/>
        <v>1.9512201312615277E-3</v>
      </c>
      <c r="N438">
        <f t="shared" si="78"/>
        <v>4.9763623818704862E-4</v>
      </c>
      <c r="AB438">
        <f t="shared" si="70"/>
        <v>-2.7161684282445138E-3</v>
      </c>
      <c r="AC438">
        <f t="shared" si="71"/>
        <v>-4.6739853452421893E-3</v>
      </c>
      <c r="AD438">
        <f t="shared" si="72"/>
        <v>-4.7388746047061182E-3</v>
      </c>
      <c r="AE438">
        <f t="shared" si="73"/>
        <v>-3.5722835370750553E-3</v>
      </c>
      <c r="AF438">
        <f t="shared" si="74"/>
        <v>-3.5520552062562596E-3</v>
      </c>
      <c r="AG438">
        <f t="shared" si="79"/>
        <v>-4.8930698526604456E-3</v>
      </c>
    </row>
    <row r="439" spans="1:33" x14ac:dyDescent="0.3">
      <c r="A439" s="17">
        <v>45909</v>
      </c>
      <c r="B439">
        <v>101.75</v>
      </c>
      <c r="C439">
        <v>101.15</v>
      </c>
      <c r="D439">
        <v>114.1</v>
      </c>
      <c r="E439">
        <v>113.15</v>
      </c>
      <c r="F439">
        <v>103</v>
      </c>
      <c r="G439">
        <v>102.1</v>
      </c>
      <c r="H439">
        <v>100</v>
      </c>
      <c r="I439">
        <v>99.1</v>
      </c>
      <c r="K439">
        <f t="shared" si="75"/>
        <v>-3.4542348680874461E-3</v>
      </c>
      <c r="L439">
        <f t="shared" si="76"/>
        <v>-2.6478391463043154E-3</v>
      </c>
      <c r="M439">
        <f t="shared" si="77"/>
        <v>-4.8852075660493158E-3</v>
      </c>
      <c r="N439">
        <f t="shared" si="78"/>
        <v>-4.9875415110390512E-3</v>
      </c>
      <c r="AB439">
        <f t="shared" si="70"/>
        <v>9.3410190882442252E-4</v>
      </c>
      <c r="AC439">
        <f t="shared" si="71"/>
        <v>1.0531836501664255E-3</v>
      </c>
      <c r="AD439">
        <f t="shared" si="72"/>
        <v>-1.0173567108281213E-3</v>
      </c>
      <c r="AE439">
        <f t="shared" si="73"/>
        <v>9.2287625805572598E-4</v>
      </c>
      <c r="AF439">
        <f t="shared" si="74"/>
        <v>-3.8143666423181861E-5</v>
      </c>
      <c r="AG439">
        <f t="shared" si="79"/>
        <v>7.8840888684600027E-4</v>
      </c>
    </row>
    <row r="440" spans="1:33" x14ac:dyDescent="0.3">
      <c r="A440" s="17">
        <v>45910</v>
      </c>
      <c r="B440">
        <v>101.9</v>
      </c>
      <c r="C440">
        <v>101.3</v>
      </c>
      <c r="D440">
        <v>114.2</v>
      </c>
      <c r="E440">
        <v>113.25</v>
      </c>
      <c r="F440">
        <v>103.1</v>
      </c>
      <c r="G440">
        <v>102.2</v>
      </c>
      <c r="H440">
        <v>99.85</v>
      </c>
      <c r="I440">
        <v>98.95</v>
      </c>
      <c r="K440">
        <f t="shared" si="75"/>
        <v>1.4818476408830887E-3</v>
      </c>
      <c r="L440">
        <f t="shared" si="76"/>
        <v>8.8339228359699473E-4</v>
      </c>
      <c r="M440">
        <f t="shared" si="77"/>
        <v>9.7895259898419856E-4</v>
      </c>
      <c r="N440">
        <f t="shared" si="78"/>
        <v>-1.5011261262672026E-3</v>
      </c>
      <c r="AB440">
        <f t="shared" si="70"/>
        <v>2.5467169124385241E-3</v>
      </c>
      <c r="AC440">
        <f t="shared" si="71"/>
        <v>6.3532791449073724E-4</v>
      </c>
      <c r="AD440">
        <f t="shared" si="72"/>
        <v>2.335048483709341E-3</v>
      </c>
      <c r="AE440">
        <f t="shared" si="73"/>
        <v>1.7545199940677257E-3</v>
      </c>
      <c r="AF440">
        <f t="shared" si="74"/>
        <v>2.5895138319871973E-3</v>
      </c>
      <c r="AG440">
        <f t="shared" si="79"/>
        <v>6.4366081608341623E-4</v>
      </c>
    </row>
    <row r="441" spans="1:33" x14ac:dyDescent="0.3">
      <c r="A441" s="17">
        <v>45911</v>
      </c>
      <c r="B441">
        <v>102.05</v>
      </c>
      <c r="C441">
        <v>101.45</v>
      </c>
      <c r="D441">
        <v>114.5</v>
      </c>
      <c r="E441">
        <v>113.55</v>
      </c>
      <c r="F441">
        <v>103.2</v>
      </c>
      <c r="G441">
        <v>102.25</v>
      </c>
      <c r="H441">
        <v>100.1</v>
      </c>
      <c r="I441">
        <v>99.2</v>
      </c>
      <c r="K441">
        <f t="shared" si="75"/>
        <v>1.479655017186074E-3</v>
      </c>
      <c r="L441">
        <f t="shared" si="76"/>
        <v>2.6455041884239534E-3</v>
      </c>
      <c r="M441">
        <f t="shared" si="77"/>
        <v>4.8911715330705343E-4</v>
      </c>
      <c r="N441">
        <f t="shared" si="78"/>
        <v>2.5006264593506813E-3</v>
      </c>
      <c r="AB441">
        <f t="shared" si="70"/>
        <v>-3.196300565905537E-4</v>
      </c>
      <c r="AC441">
        <f t="shared" si="71"/>
        <v>5.5469080638813626E-3</v>
      </c>
      <c r="AD441">
        <f t="shared" si="72"/>
        <v>2.6669833931723848E-3</v>
      </c>
      <c r="AE441">
        <f t="shared" si="73"/>
        <v>2.359830502315613E-3</v>
      </c>
      <c r="AF441">
        <f t="shared" si="74"/>
        <v>8.8628876412792635E-4</v>
      </c>
      <c r="AG441">
        <f t="shared" si="79"/>
        <v>6.0799042680841639E-3</v>
      </c>
    </row>
    <row r="442" spans="1:33" x14ac:dyDescent="0.3">
      <c r="A442" s="17">
        <v>45912</v>
      </c>
      <c r="B442">
        <v>102.15</v>
      </c>
      <c r="C442">
        <v>101.55</v>
      </c>
      <c r="D442">
        <v>114.4</v>
      </c>
      <c r="E442">
        <v>113.5</v>
      </c>
      <c r="F442">
        <v>103.8</v>
      </c>
      <c r="G442">
        <v>102.9</v>
      </c>
      <c r="H442">
        <v>100.4</v>
      </c>
      <c r="I442">
        <v>99.5</v>
      </c>
      <c r="K442">
        <f t="shared" si="75"/>
        <v>9.8522175456986654E-4</v>
      </c>
      <c r="L442">
        <f t="shared" si="76"/>
        <v>-4.4043163011004999E-4</v>
      </c>
      <c r="M442">
        <f t="shared" si="77"/>
        <v>6.3368479170928362E-3</v>
      </c>
      <c r="N442">
        <f t="shared" si="78"/>
        <v>2.9925209364539294E-3</v>
      </c>
      <c r="AB442">
        <f t="shared" si="70"/>
        <v>1.8197296687646758E-3</v>
      </c>
      <c r="AC442">
        <f t="shared" si="71"/>
        <v>-2.1257996053570425E-3</v>
      </c>
      <c r="AD442">
        <f t="shared" si="72"/>
        <v>2.0660733695475521E-3</v>
      </c>
      <c r="AE442">
        <f t="shared" si="73"/>
        <v>-1.7324954653239561E-4</v>
      </c>
      <c r="AF442">
        <f t="shared" si="74"/>
        <v>1.8492526562935677E-3</v>
      </c>
      <c r="AG442">
        <f t="shared" si="79"/>
        <v>-2.5424946609313888E-3</v>
      </c>
    </row>
    <row r="443" spans="1:33" x14ac:dyDescent="0.3">
      <c r="A443" s="17">
        <v>45915</v>
      </c>
      <c r="B443">
        <v>102.4</v>
      </c>
      <c r="C443">
        <v>101.8</v>
      </c>
      <c r="D443">
        <v>114.6</v>
      </c>
      <c r="E443">
        <v>113.7</v>
      </c>
      <c r="F443">
        <v>103.5</v>
      </c>
      <c r="G443">
        <v>102.6</v>
      </c>
      <c r="H443">
        <v>100.6</v>
      </c>
      <c r="I443">
        <v>99.7</v>
      </c>
      <c r="K443">
        <f t="shared" si="75"/>
        <v>2.4588160900287748E-3</v>
      </c>
      <c r="L443">
        <f t="shared" si="76"/>
        <v>1.7605638350329589E-3</v>
      </c>
      <c r="M443">
        <f t="shared" si="77"/>
        <v>-2.9197101033348618E-3</v>
      </c>
      <c r="N443">
        <f t="shared" si="78"/>
        <v>1.9900504080097876E-3</v>
      </c>
      <c r="AB443">
        <f t="shared" si="70"/>
        <v>1.3314409148134801E-3</v>
      </c>
      <c r="AC443">
        <f t="shared" si="71"/>
        <v>4.3612070113540928E-3</v>
      </c>
      <c r="AD443">
        <f t="shared" si="72"/>
        <v>2.3182707010980909E-3</v>
      </c>
      <c r="AE443">
        <f t="shared" si="73"/>
        <v>2.7823294550876226E-3</v>
      </c>
      <c r="AF443">
        <f t="shared" si="74"/>
        <v>1.7680897018401993E-3</v>
      </c>
      <c r="AG443">
        <f t="shared" si="79"/>
        <v>4.6786457299778927E-3</v>
      </c>
    </row>
    <row r="444" spans="1:33" x14ac:dyDescent="0.3">
      <c r="A444" s="17">
        <v>45916</v>
      </c>
      <c r="B444">
        <v>102.55</v>
      </c>
      <c r="C444">
        <v>101.95</v>
      </c>
      <c r="D444">
        <v>114.75</v>
      </c>
      <c r="E444">
        <v>113.85</v>
      </c>
      <c r="F444">
        <v>104</v>
      </c>
      <c r="G444">
        <v>103.1</v>
      </c>
      <c r="H444">
        <v>100.85</v>
      </c>
      <c r="I444">
        <v>99.95</v>
      </c>
      <c r="K444">
        <f t="shared" si="75"/>
        <v>1.4723929040418517E-3</v>
      </c>
      <c r="L444">
        <f t="shared" si="76"/>
        <v>1.3183917532582322E-3</v>
      </c>
      <c r="M444">
        <f t="shared" si="77"/>
        <v>4.861458286244999E-3</v>
      </c>
      <c r="N444">
        <f t="shared" si="78"/>
        <v>2.482006734581951E-3</v>
      </c>
      <c r="AB444">
        <f t="shared" si="70"/>
        <v>4.1546547587637497E-5</v>
      </c>
      <c r="AC444">
        <f t="shared" si="71"/>
        <v>7.2374329913258776E-5</v>
      </c>
      <c r="AD444">
        <f t="shared" si="72"/>
        <v>1.3247346068626263E-3</v>
      </c>
      <c r="AE444">
        <f t="shared" si="73"/>
        <v>0</v>
      </c>
      <c r="AF444">
        <f t="shared" si="74"/>
        <v>5.7438644615050898E-4</v>
      </c>
      <c r="AG444">
        <f t="shared" si="79"/>
        <v>1.1418833378414472E-4</v>
      </c>
    </row>
    <row r="445" spans="1:33" x14ac:dyDescent="0.3">
      <c r="A445" s="17">
        <v>45917</v>
      </c>
      <c r="B445">
        <v>102.6</v>
      </c>
      <c r="C445">
        <v>102</v>
      </c>
      <c r="D445">
        <v>114.75</v>
      </c>
      <c r="E445">
        <v>113.85</v>
      </c>
      <c r="F445">
        <v>104</v>
      </c>
      <c r="G445">
        <v>103.1</v>
      </c>
      <c r="H445">
        <v>101</v>
      </c>
      <c r="I445">
        <v>100.1</v>
      </c>
      <c r="K445">
        <f t="shared" si="75"/>
        <v>4.903162638069552E-4</v>
      </c>
      <c r="L445">
        <f t="shared" si="76"/>
        <v>0</v>
      </c>
      <c r="M445">
        <f t="shared" si="77"/>
        <v>0</v>
      </c>
      <c r="N445">
        <f t="shared" si="78"/>
        <v>1.4862524410386502E-3</v>
      </c>
      <c r="AB445">
        <f t="shared" si="70"/>
        <v>2.6574480499970761E-3</v>
      </c>
      <c r="AC445">
        <f t="shared" si="71"/>
        <v>4.3350234653596442E-4</v>
      </c>
      <c r="AD445">
        <f t="shared" si="72"/>
        <v>2.133705969680029E-3</v>
      </c>
      <c r="AE445">
        <f t="shared" si="73"/>
        <v>1.5442540430860487E-3</v>
      </c>
      <c r="AF445">
        <f t="shared" si="74"/>
        <v>2.3790864138285269E-3</v>
      </c>
      <c r="AG445">
        <f t="shared" si="79"/>
        <v>1.5198759280059891E-4</v>
      </c>
    </row>
    <row r="446" spans="1:33" x14ac:dyDescent="0.3">
      <c r="A446" s="17">
        <v>45918</v>
      </c>
      <c r="B446">
        <v>102.9</v>
      </c>
      <c r="C446">
        <v>102.3</v>
      </c>
      <c r="D446">
        <v>115.05</v>
      </c>
      <c r="E446">
        <v>114.15</v>
      </c>
      <c r="F446">
        <v>104</v>
      </c>
      <c r="G446">
        <v>103.1</v>
      </c>
      <c r="H446">
        <v>101.2</v>
      </c>
      <c r="I446">
        <v>100.3</v>
      </c>
      <c r="K446">
        <f t="shared" si="75"/>
        <v>2.9368596733097057E-3</v>
      </c>
      <c r="L446">
        <f t="shared" si="76"/>
        <v>2.6315804660560424E-3</v>
      </c>
      <c r="M446">
        <f t="shared" si="77"/>
        <v>0</v>
      </c>
      <c r="N446">
        <f t="shared" si="78"/>
        <v>1.9782400121057205E-3</v>
      </c>
      <c r="AB446">
        <f t="shared" si="70"/>
        <v>4.1404438696986878E-5</v>
      </c>
      <c r="AC446">
        <f t="shared" si="71"/>
        <v>-1.9972905000941164E-3</v>
      </c>
      <c r="AD446">
        <f t="shared" si="72"/>
        <v>-3.3480053703444199E-4</v>
      </c>
      <c r="AE446">
        <f t="shared" si="73"/>
        <v>-1.0031172741561483E-3</v>
      </c>
      <c r="AF446">
        <f t="shared" si="74"/>
        <v>-1.9098902095877548E-4</v>
      </c>
      <c r="AG446">
        <f t="shared" si="79"/>
        <v>-2.2792184172110764E-3</v>
      </c>
    </row>
    <row r="447" spans="1:33" x14ac:dyDescent="0.3">
      <c r="A447" s="17">
        <v>45919</v>
      </c>
      <c r="B447">
        <v>102.95</v>
      </c>
      <c r="C447">
        <v>102.35</v>
      </c>
      <c r="D447">
        <v>115.1</v>
      </c>
      <c r="E447">
        <v>114.15</v>
      </c>
      <c r="F447">
        <v>103.75</v>
      </c>
      <c r="G447">
        <v>102.85</v>
      </c>
      <c r="H447">
        <v>101.15</v>
      </c>
      <c r="I447">
        <v>100.25</v>
      </c>
      <c r="K447">
        <f t="shared" si="75"/>
        <v>4.886391497177379E-4</v>
      </c>
      <c r="L447">
        <f t="shared" si="76"/>
        <v>0</v>
      </c>
      <c r="M447">
        <f t="shared" si="77"/>
        <v>-2.4277749239480701E-3</v>
      </c>
      <c r="N447">
        <f t="shared" si="78"/>
        <v>-4.9419323961063914E-4</v>
      </c>
      <c r="AB447">
        <f t="shared" si="70"/>
        <v>-3.1714872452674892E-3</v>
      </c>
      <c r="AC447">
        <f t="shared" si="71"/>
        <v>-2.8335591343486436E-3</v>
      </c>
      <c r="AD447">
        <f t="shared" si="72"/>
        <v>-1.9941001618626686E-3</v>
      </c>
      <c r="AE447">
        <f t="shared" si="73"/>
        <v>-3.4683779704383008E-3</v>
      </c>
      <c r="AF447">
        <f t="shared" si="74"/>
        <v>-3.1100601807344374E-3</v>
      </c>
      <c r="AG447">
        <f t="shared" si="79"/>
        <v>-3.3370446511661977E-3</v>
      </c>
    </row>
    <row r="448" spans="1:33" x14ac:dyDescent="0.3">
      <c r="A448" s="17">
        <v>45922</v>
      </c>
      <c r="B448">
        <v>103</v>
      </c>
      <c r="C448">
        <v>102.4</v>
      </c>
      <c r="D448">
        <v>114.7</v>
      </c>
      <c r="E448">
        <v>113.75</v>
      </c>
      <c r="F448">
        <v>103.4</v>
      </c>
      <c r="G448">
        <v>102.5</v>
      </c>
      <c r="H448">
        <v>100.9</v>
      </c>
      <c r="I448">
        <v>100</v>
      </c>
      <c r="K448">
        <f t="shared" si="75"/>
        <v>4.8840049810906869E-4</v>
      </c>
      <c r="L448">
        <f t="shared" si="76"/>
        <v>-3.5103151447447665E-3</v>
      </c>
      <c r="M448">
        <f t="shared" si="77"/>
        <v>-3.4088175205032488E-3</v>
      </c>
      <c r="N448">
        <f t="shared" si="78"/>
        <v>-2.4746362541911582E-3</v>
      </c>
      <c r="AB448">
        <f t="shared" si="70"/>
        <v>-4.0240309194802674E-4</v>
      </c>
      <c r="AC448">
        <f t="shared" si="71"/>
        <v>4.1569986539544856E-4</v>
      </c>
      <c r="AD448">
        <f t="shared" si="72"/>
        <v>1.2446000422122318E-3</v>
      </c>
      <c r="AE448">
        <f t="shared" si="73"/>
        <v>-5.6493961822369162E-5</v>
      </c>
      <c r="AF448">
        <f t="shared" si="74"/>
        <v>3.0435758369512571E-4</v>
      </c>
      <c r="AG448">
        <f t="shared" si="79"/>
        <v>5.6434896484313605E-4</v>
      </c>
    </row>
    <row r="449" spans="1:33" x14ac:dyDescent="0.3">
      <c r="A449" s="17">
        <v>45923</v>
      </c>
      <c r="B449">
        <v>103</v>
      </c>
      <c r="C449">
        <v>102.4</v>
      </c>
      <c r="D449">
        <v>114.65</v>
      </c>
      <c r="E449">
        <v>113.7</v>
      </c>
      <c r="F449">
        <v>103.45</v>
      </c>
      <c r="G449">
        <v>102.55</v>
      </c>
      <c r="H449">
        <v>101.05</v>
      </c>
      <c r="I449">
        <v>100.15</v>
      </c>
      <c r="K449">
        <f t="shared" si="75"/>
        <v>0</v>
      </c>
      <c r="L449">
        <f t="shared" si="76"/>
        <v>-4.3965707456939572E-4</v>
      </c>
      <c r="M449">
        <f t="shared" si="77"/>
        <v>4.8768593992674897E-4</v>
      </c>
      <c r="N449">
        <f t="shared" si="78"/>
        <v>1.4855164900666093E-3</v>
      </c>
      <c r="AB449">
        <f t="shared" si="70"/>
        <v>2.4117690315846449E-3</v>
      </c>
      <c r="AC449">
        <f t="shared" si="71"/>
        <v>-2.9141654268249931E-3</v>
      </c>
      <c r="AD449">
        <f t="shared" si="72"/>
        <v>-4.9895320131623806E-3</v>
      </c>
      <c r="AE449">
        <f t="shared" si="73"/>
        <v>1.3369306402334115E-4</v>
      </c>
      <c r="AF449">
        <f t="shared" si="74"/>
        <v>-6.8485234733774766E-4</v>
      </c>
      <c r="AG449">
        <f t="shared" si="79"/>
        <v>-3.6136888125774245E-3</v>
      </c>
    </row>
    <row r="450" spans="1:33" x14ac:dyDescent="0.3">
      <c r="A450" s="17">
        <v>45924</v>
      </c>
      <c r="B450">
        <v>103</v>
      </c>
      <c r="C450">
        <v>102.4</v>
      </c>
      <c r="D450">
        <v>114.95</v>
      </c>
      <c r="E450">
        <v>114</v>
      </c>
      <c r="F450">
        <v>103.1</v>
      </c>
      <c r="G450">
        <v>102.2</v>
      </c>
      <c r="H450">
        <v>100.45</v>
      </c>
      <c r="I450">
        <v>99.55</v>
      </c>
      <c r="K450">
        <f t="shared" si="75"/>
        <v>0</v>
      </c>
      <c r="L450">
        <f t="shared" si="76"/>
        <v>2.6350476380050318E-3</v>
      </c>
      <c r="M450">
        <f t="shared" si="77"/>
        <v>-3.4188067487854975E-3</v>
      </c>
      <c r="N450">
        <f t="shared" si="78"/>
        <v>-5.9553525886865168E-3</v>
      </c>
      <c r="AB450">
        <f t="shared" si="70"/>
        <v>-2.0712350109582361E-4</v>
      </c>
      <c r="AC450">
        <f t="shared" si="71"/>
        <v>-1.1952622645356923E-3</v>
      </c>
      <c r="AD450">
        <f t="shared" si="72"/>
        <v>-3.3207657051180519E-3</v>
      </c>
      <c r="AE450">
        <f t="shared" si="73"/>
        <v>-4.044873570999055E-4</v>
      </c>
      <c r="AF450">
        <f t="shared" si="74"/>
        <v>-1.3489237989602956E-3</v>
      </c>
      <c r="AG450">
        <f t="shared" si="79"/>
        <v>-1.1719067366891963E-3</v>
      </c>
    </row>
    <row r="451" spans="1:33" x14ac:dyDescent="0.3">
      <c r="A451" s="17">
        <v>45925</v>
      </c>
      <c r="B451">
        <v>102.75</v>
      </c>
      <c r="C451">
        <v>102.15</v>
      </c>
      <c r="D451">
        <v>114.95</v>
      </c>
      <c r="E451">
        <v>114</v>
      </c>
      <c r="F451">
        <v>103</v>
      </c>
      <c r="G451">
        <v>102.1</v>
      </c>
      <c r="H451">
        <v>100.1</v>
      </c>
      <c r="I451">
        <v>99.2</v>
      </c>
      <c r="K451">
        <f t="shared" si="75"/>
        <v>-2.4443913417763457E-3</v>
      </c>
      <c r="L451">
        <f t="shared" si="76"/>
        <v>0</v>
      </c>
      <c r="M451">
        <f t="shared" si="77"/>
        <v>-9.789525989842712E-4</v>
      </c>
      <c r="N451">
        <f t="shared" si="78"/>
        <v>-3.4904049397686022E-3</v>
      </c>
      <c r="AB451">
        <f t="shared" ref="AB451:AB514" si="80">K452*$S$108+L452*$T$108</f>
        <v>-3.3416239195466976E-3</v>
      </c>
      <c r="AC451">
        <f t="shared" ref="AC451:AC514" si="81">K452*$S$109+M452*$T$109</f>
        <v>-2.1691031515577044E-4</v>
      </c>
      <c r="AD451">
        <f t="shared" ref="AD451:AD514" si="82">K452*$S$110+N452*$T$110</f>
        <v>-2.3832023733725072E-4</v>
      </c>
      <c r="AE451">
        <f t="shared" ref="AE451:AE514" si="83">L452*$S$111+M452*$T$111</f>
        <v>-2.0626249626975938E-3</v>
      </c>
      <c r="AF451">
        <f t="shared" ref="AF451:AF514" si="84">L452*$S$112+N452*$T$112</f>
        <v>-2.1565355206678146E-3</v>
      </c>
      <c r="AG451">
        <f t="shared" si="79"/>
        <v>0</v>
      </c>
    </row>
    <row r="452" spans="1:33" x14ac:dyDescent="0.3">
      <c r="A452" s="17">
        <v>45926</v>
      </c>
      <c r="B452">
        <v>102.6</v>
      </c>
      <c r="C452">
        <v>102</v>
      </c>
      <c r="D452">
        <v>114.55</v>
      </c>
      <c r="E452">
        <v>113.6</v>
      </c>
      <c r="F452">
        <v>103</v>
      </c>
      <c r="G452">
        <v>102.1</v>
      </c>
      <c r="H452">
        <v>100.1</v>
      </c>
      <c r="I452">
        <v>99.2</v>
      </c>
      <c r="K452">
        <f t="shared" ref="K452:K515" si="85">LN(C452/C451)</f>
        <v>-1.4695079793599947E-3</v>
      </c>
      <c r="L452">
        <f t="shared" ref="L452:L515" si="86">LN(E452/E451)</f>
        <v>-3.5149421074444969E-3</v>
      </c>
      <c r="M452">
        <f t="shared" ref="M452:M515" si="87">LN(G452/G451)</f>
        <v>0</v>
      </c>
      <c r="N452">
        <f t="shared" ref="N452:N515" si="88">LN(H452/H451)</f>
        <v>0</v>
      </c>
      <c r="AB452">
        <f t="shared" si="80"/>
        <v>4.0275724209548418E-4</v>
      </c>
      <c r="AC452">
        <f t="shared" si="81"/>
        <v>1.2513717301555203E-3</v>
      </c>
      <c r="AD452">
        <f t="shared" si="82"/>
        <v>2.0898566776902366E-3</v>
      </c>
      <c r="AE452">
        <f t="shared" si="83"/>
        <v>8.6480759592234423E-4</v>
      </c>
      <c r="AF452">
        <f t="shared" si="84"/>
        <v>1.2339790384531489E-3</v>
      </c>
      <c r="AG452">
        <f t="shared" ref="AG452:AG515" si="89">M453*$S$113+N453*$T$113</f>
        <v>1.5469215493275109E-3</v>
      </c>
    </row>
    <row r="453" spans="1:33" x14ac:dyDescent="0.3">
      <c r="A453" s="17">
        <v>45929</v>
      </c>
      <c r="B453">
        <v>102.6</v>
      </c>
      <c r="C453">
        <v>102</v>
      </c>
      <c r="D453">
        <v>114.6</v>
      </c>
      <c r="E453">
        <v>113.65</v>
      </c>
      <c r="F453">
        <v>103.15</v>
      </c>
      <c r="G453">
        <v>102.25</v>
      </c>
      <c r="H453">
        <v>100.35</v>
      </c>
      <c r="I453">
        <v>99.45</v>
      </c>
      <c r="K453">
        <f t="shared" si="85"/>
        <v>0</v>
      </c>
      <c r="L453">
        <f t="shared" si="86"/>
        <v>4.4004401150130572E-4</v>
      </c>
      <c r="M453">
        <f t="shared" si="87"/>
        <v>1.468069752291382E-3</v>
      </c>
      <c r="N453">
        <f t="shared" si="88"/>
        <v>2.4943889211722177E-3</v>
      </c>
      <c r="AB453">
        <f t="shared" si="80"/>
        <v>0</v>
      </c>
      <c r="AC453">
        <f t="shared" si="81"/>
        <v>4.1671599808164539E-4</v>
      </c>
      <c r="AD453">
        <f t="shared" si="82"/>
        <v>1.2514163755662005E-3</v>
      </c>
      <c r="AE453">
        <f t="shared" si="83"/>
        <v>2.0199648521582362E-4</v>
      </c>
      <c r="AF453">
        <f t="shared" si="84"/>
        <v>5.7724622538478832E-4</v>
      </c>
      <c r="AG453">
        <f t="shared" si="89"/>
        <v>5.6607453984223793E-4</v>
      </c>
    </row>
    <row r="454" spans="1:33" x14ac:dyDescent="0.3">
      <c r="A454" s="17">
        <v>45930</v>
      </c>
      <c r="B454">
        <v>102.6</v>
      </c>
      <c r="C454">
        <v>102</v>
      </c>
      <c r="D454">
        <v>114.6</v>
      </c>
      <c r="E454">
        <v>113.65</v>
      </c>
      <c r="F454">
        <v>103.2</v>
      </c>
      <c r="G454">
        <v>102.3</v>
      </c>
      <c r="H454">
        <v>100.5</v>
      </c>
      <c r="I454">
        <v>99.6</v>
      </c>
      <c r="K454">
        <f t="shared" si="85"/>
        <v>0</v>
      </c>
      <c r="L454">
        <f t="shared" si="86"/>
        <v>0</v>
      </c>
      <c r="M454">
        <f t="shared" si="87"/>
        <v>4.8887803466963944E-4</v>
      </c>
      <c r="N454">
        <f t="shared" si="88"/>
        <v>1.493652256783372E-3</v>
      </c>
      <c r="AB454">
        <f t="shared" si="80"/>
        <v>-8.3113476116767975E-5</v>
      </c>
      <c r="AC454">
        <f t="shared" si="81"/>
        <v>1.5200455787731692E-3</v>
      </c>
      <c r="AD454">
        <f t="shared" si="82"/>
        <v>1.5065779062384496E-3</v>
      </c>
      <c r="AE454">
        <f t="shared" si="83"/>
        <v>8.069998703659336E-4</v>
      </c>
      <c r="AF454">
        <f t="shared" si="84"/>
        <v>7.6832286945281367E-4</v>
      </c>
      <c r="AG454">
        <f t="shared" si="89"/>
        <v>1.9558105581306451E-3</v>
      </c>
    </row>
    <row r="455" spans="1:33" x14ac:dyDescent="0.3">
      <c r="A455" s="17">
        <v>45931</v>
      </c>
      <c r="B455">
        <v>102.5</v>
      </c>
      <c r="C455">
        <v>101.9</v>
      </c>
      <c r="D455">
        <v>114.6</v>
      </c>
      <c r="E455">
        <v>113.65</v>
      </c>
      <c r="F455">
        <v>103.4</v>
      </c>
      <c r="G455">
        <v>102.5</v>
      </c>
      <c r="H455">
        <v>100.7</v>
      </c>
      <c r="I455">
        <v>99.8</v>
      </c>
      <c r="K455">
        <f t="shared" si="85"/>
        <v>-9.8087305559194809E-4</v>
      </c>
      <c r="L455">
        <f t="shared" si="86"/>
        <v>0</v>
      </c>
      <c r="M455">
        <f t="shared" si="87"/>
        <v>1.9531256208820701E-3</v>
      </c>
      <c r="N455">
        <f t="shared" si="88"/>
        <v>1.9880722253861152E-3</v>
      </c>
      <c r="AB455">
        <f t="shared" si="80"/>
        <v>1.6923724716006827E-3</v>
      </c>
      <c r="AC455">
        <f t="shared" si="81"/>
        <v>3.0504348465323853E-3</v>
      </c>
      <c r="AD455">
        <f t="shared" si="82"/>
        <v>1.5907494391978935E-4</v>
      </c>
      <c r="AE455">
        <f t="shared" si="83"/>
        <v>2.440233193444771E-3</v>
      </c>
      <c r="AF455">
        <f t="shared" si="84"/>
        <v>1.0787408914507454E-3</v>
      </c>
      <c r="AG455">
        <f t="shared" si="89"/>
        <v>3.1469190824637712E-3</v>
      </c>
    </row>
    <row r="456" spans="1:33" x14ac:dyDescent="0.3">
      <c r="A456" s="17">
        <v>45932</v>
      </c>
      <c r="B456">
        <v>102.6</v>
      </c>
      <c r="C456">
        <v>102</v>
      </c>
      <c r="D456">
        <v>114.8</v>
      </c>
      <c r="E456">
        <v>113.85</v>
      </c>
      <c r="F456">
        <v>103.75</v>
      </c>
      <c r="G456">
        <v>102.85</v>
      </c>
      <c r="H456">
        <v>100.7</v>
      </c>
      <c r="I456">
        <v>99.8</v>
      </c>
      <c r="K456">
        <f t="shared" si="85"/>
        <v>9.8087305559189236E-4</v>
      </c>
      <c r="L456">
        <f t="shared" si="86"/>
        <v>1.7582422111963444E-3</v>
      </c>
      <c r="M456">
        <f t="shared" si="87"/>
        <v>3.408817520503309E-3</v>
      </c>
      <c r="N456">
        <f t="shared" si="88"/>
        <v>0</v>
      </c>
      <c r="AB456">
        <f t="shared" si="80"/>
        <v>0</v>
      </c>
      <c r="AC456">
        <f t="shared" si="81"/>
        <v>4.1428557661180444E-4</v>
      </c>
      <c r="AD456">
        <f t="shared" si="82"/>
        <v>4.1589631416269577E-4</v>
      </c>
      <c r="AE456">
        <f t="shared" si="83"/>
        <v>2.0081837687162523E-4</v>
      </c>
      <c r="AF456">
        <f t="shared" si="84"/>
        <v>1.9184228542098232E-4</v>
      </c>
      <c r="AG456">
        <f t="shared" si="89"/>
        <v>4.8682380013166351E-4</v>
      </c>
    </row>
    <row r="457" spans="1:33" x14ac:dyDescent="0.3">
      <c r="A457" s="17">
        <v>45933</v>
      </c>
      <c r="B457">
        <v>102.6</v>
      </c>
      <c r="C457">
        <v>102</v>
      </c>
      <c r="D457">
        <v>114.8</v>
      </c>
      <c r="E457">
        <v>113.85</v>
      </c>
      <c r="F457">
        <v>103.8</v>
      </c>
      <c r="G457">
        <v>102.9</v>
      </c>
      <c r="H457">
        <v>100.75</v>
      </c>
      <c r="I457">
        <v>99.85</v>
      </c>
      <c r="K457">
        <f t="shared" si="85"/>
        <v>0</v>
      </c>
      <c r="L457">
        <f t="shared" si="86"/>
        <v>0</v>
      </c>
      <c r="M457">
        <f t="shared" si="87"/>
        <v>4.8602674103785057E-4</v>
      </c>
      <c r="N457">
        <f t="shared" si="88"/>
        <v>4.9640110227575876E-4</v>
      </c>
      <c r="AB457">
        <f t="shared" si="80"/>
        <v>-4.1546547587632558E-5</v>
      </c>
      <c r="AC457">
        <f t="shared" si="81"/>
        <v>7.5559325058150817E-4</v>
      </c>
      <c r="AD457">
        <f t="shared" si="82"/>
        <v>7.5165581818256071E-4</v>
      </c>
      <c r="AE457">
        <f t="shared" si="83"/>
        <v>4.0134418141494729E-4</v>
      </c>
      <c r="AF457">
        <f t="shared" si="84"/>
        <v>3.8339911482246955E-4</v>
      </c>
      <c r="AG457">
        <f t="shared" si="89"/>
        <v>9.7293716154184847E-4</v>
      </c>
    </row>
    <row r="458" spans="1:33" x14ac:dyDescent="0.3">
      <c r="A458" s="17">
        <v>45936</v>
      </c>
      <c r="B458">
        <v>102.55</v>
      </c>
      <c r="C458">
        <v>101.95</v>
      </c>
      <c r="D458">
        <v>114.8</v>
      </c>
      <c r="E458">
        <v>113.85</v>
      </c>
      <c r="F458">
        <v>103.95</v>
      </c>
      <c r="G458">
        <v>103</v>
      </c>
      <c r="H458">
        <v>100.85</v>
      </c>
      <c r="I458">
        <v>99.95</v>
      </c>
      <c r="K458">
        <f t="shared" si="85"/>
        <v>-4.9031626380689687E-4</v>
      </c>
      <c r="L458">
        <f t="shared" si="86"/>
        <v>0</v>
      </c>
      <c r="M458">
        <f t="shared" si="87"/>
        <v>9.7134538963188088E-4</v>
      </c>
      <c r="N458">
        <f t="shared" si="88"/>
        <v>9.9206357342846948E-4</v>
      </c>
      <c r="AB458">
        <f t="shared" si="80"/>
        <v>-4.1566928529130945E-5</v>
      </c>
      <c r="AC458">
        <f t="shared" si="81"/>
        <v>-7.2409833633043879E-5</v>
      </c>
      <c r="AD458">
        <f t="shared" si="82"/>
        <v>1.580320947168985E-3</v>
      </c>
      <c r="AE458">
        <f t="shared" si="83"/>
        <v>0</v>
      </c>
      <c r="AF458">
        <f t="shared" si="84"/>
        <v>7.6565904398946574E-4</v>
      </c>
      <c r="AG458">
        <f t="shared" si="89"/>
        <v>1.5221342889593317E-4</v>
      </c>
    </row>
    <row r="459" spans="1:33" x14ac:dyDescent="0.3">
      <c r="A459" s="17">
        <v>45937</v>
      </c>
      <c r="B459">
        <v>102.5</v>
      </c>
      <c r="C459">
        <v>101.9</v>
      </c>
      <c r="D459">
        <v>114.8</v>
      </c>
      <c r="E459">
        <v>113.85</v>
      </c>
      <c r="F459">
        <v>103.95</v>
      </c>
      <c r="G459">
        <v>103</v>
      </c>
      <c r="H459">
        <v>101.05</v>
      </c>
      <c r="I459">
        <v>100.15</v>
      </c>
      <c r="K459">
        <f t="shared" si="85"/>
        <v>-4.9055679178499853E-4</v>
      </c>
      <c r="L459">
        <f t="shared" si="86"/>
        <v>0</v>
      </c>
      <c r="M459">
        <f t="shared" si="87"/>
        <v>0</v>
      </c>
      <c r="N459">
        <f t="shared" si="88"/>
        <v>1.981179449409357E-3</v>
      </c>
      <c r="AB459">
        <f t="shared" si="80"/>
        <v>2.4501625761441117E-3</v>
      </c>
      <c r="AC459">
        <f t="shared" si="81"/>
        <v>2.5514980293039609E-3</v>
      </c>
      <c r="AD459">
        <f t="shared" si="82"/>
        <v>-1.1650430662123799E-3</v>
      </c>
      <c r="AE459">
        <f t="shared" si="83"/>
        <v>2.7459528124417895E-3</v>
      </c>
      <c r="AF459">
        <f t="shared" si="84"/>
        <v>1.0404613373084482E-3</v>
      </c>
      <c r="AG459">
        <f t="shared" si="89"/>
        <v>2.5708055265068574E-3</v>
      </c>
    </row>
    <row r="460" spans="1:33" x14ac:dyDescent="0.3">
      <c r="A460" s="17">
        <v>45938</v>
      </c>
      <c r="B460">
        <v>102.55</v>
      </c>
      <c r="C460">
        <v>101.95</v>
      </c>
      <c r="D460">
        <v>115.1</v>
      </c>
      <c r="E460">
        <v>114.15</v>
      </c>
      <c r="F460">
        <v>104.25</v>
      </c>
      <c r="G460">
        <v>103.3</v>
      </c>
      <c r="H460">
        <v>100.9</v>
      </c>
      <c r="I460">
        <v>100</v>
      </c>
      <c r="K460">
        <f t="shared" si="85"/>
        <v>4.9055679178502335E-4</v>
      </c>
      <c r="L460">
        <f t="shared" si="86"/>
        <v>2.6315804660560424E-3</v>
      </c>
      <c r="M460">
        <f t="shared" si="87"/>
        <v>2.9083878959570019E-3</v>
      </c>
      <c r="N460">
        <f t="shared" si="88"/>
        <v>-1.485516490066669E-3</v>
      </c>
      <c r="AB460">
        <f t="shared" si="80"/>
        <v>6.6410792928941649E-3</v>
      </c>
      <c r="AC460">
        <f t="shared" si="81"/>
        <v>6.6000730276576406E-3</v>
      </c>
      <c r="AD460">
        <f t="shared" si="82"/>
        <v>2.1355802234269438E-3</v>
      </c>
      <c r="AE460">
        <f t="shared" si="83"/>
        <v>7.0872975113318503E-3</v>
      </c>
      <c r="AF460">
        <f t="shared" si="84"/>
        <v>5.0501248247908125E-3</v>
      </c>
      <c r="AG460">
        <f t="shared" si="89"/>
        <v>6.8305151405646542E-3</v>
      </c>
    </row>
    <row r="461" spans="1:33" x14ac:dyDescent="0.3">
      <c r="A461" s="17">
        <v>45939</v>
      </c>
      <c r="B461">
        <v>102.85</v>
      </c>
      <c r="C461">
        <v>102.25</v>
      </c>
      <c r="D461">
        <v>115.9</v>
      </c>
      <c r="E461">
        <v>114.95</v>
      </c>
      <c r="F461">
        <v>105</v>
      </c>
      <c r="G461">
        <v>104.05</v>
      </c>
      <c r="H461">
        <v>101.1</v>
      </c>
      <c r="I461">
        <v>100.2</v>
      </c>
      <c r="K461">
        <f t="shared" si="85"/>
        <v>2.9382979024468407E-3</v>
      </c>
      <c r="L461">
        <f t="shared" si="86"/>
        <v>6.9838782333860776E-3</v>
      </c>
      <c r="M461">
        <f t="shared" si="87"/>
        <v>7.2341767140505419E-3</v>
      </c>
      <c r="N461">
        <f t="shared" si="88"/>
        <v>1.9801986668622792E-3</v>
      </c>
      <c r="AB461">
        <f t="shared" si="80"/>
        <v>8.2829119114988302E-5</v>
      </c>
      <c r="AC461">
        <f t="shared" si="81"/>
        <v>1.4428881197908592E-4</v>
      </c>
      <c r="AD461">
        <f t="shared" si="82"/>
        <v>-1.5005255017305902E-3</v>
      </c>
      <c r="AE461">
        <f t="shared" si="83"/>
        <v>0</v>
      </c>
      <c r="AF461">
        <f t="shared" si="84"/>
        <v>-7.652800046109115E-4</v>
      </c>
      <c r="AG461">
        <f t="shared" si="89"/>
        <v>-1.5213807566403546E-4</v>
      </c>
    </row>
    <row r="462" spans="1:33" x14ac:dyDescent="0.3">
      <c r="A462" s="17">
        <v>45940</v>
      </c>
      <c r="B462">
        <v>102.95</v>
      </c>
      <c r="C462">
        <v>102.35</v>
      </c>
      <c r="D462">
        <v>115.9</v>
      </c>
      <c r="E462">
        <v>114.95</v>
      </c>
      <c r="F462">
        <v>105</v>
      </c>
      <c r="G462">
        <v>104.05</v>
      </c>
      <c r="H462">
        <v>100.9</v>
      </c>
      <c r="I462">
        <v>100</v>
      </c>
      <c r="K462">
        <f t="shared" si="85"/>
        <v>9.7751718438734677E-4</v>
      </c>
      <c r="L462">
        <f t="shared" si="86"/>
        <v>0</v>
      </c>
      <c r="M462">
        <f t="shared" si="87"/>
        <v>0</v>
      </c>
      <c r="N462">
        <f t="shared" si="88"/>
        <v>-1.9801986668623425E-3</v>
      </c>
      <c r="AB462">
        <f t="shared" si="80"/>
        <v>0</v>
      </c>
      <c r="AC462">
        <f t="shared" si="81"/>
        <v>0</v>
      </c>
      <c r="AD462">
        <f t="shared" si="82"/>
        <v>0</v>
      </c>
      <c r="AE462">
        <f t="shared" si="83"/>
        <v>0</v>
      </c>
      <c r="AF462">
        <f t="shared" si="84"/>
        <v>0</v>
      </c>
      <c r="AG462">
        <f t="shared" si="89"/>
        <v>0</v>
      </c>
    </row>
    <row r="463" spans="1:33" x14ac:dyDescent="0.3">
      <c r="A463" s="17">
        <v>45943</v>
      </c>
      <c r="B463">
        <v>102.95</v>
      </c>
      <c r="C463">
        <v>102.35</v>
      </c>
      <c r="D463">
        <v>115.9</v>
      </c>
      <c r="E463">
        <v>114.95</v>
      </c>
      <c r="F463">
        <v>105</v>
      </c>
      <c r="G463">
        <v>104.05</v>
      </c>
      <c r="H463">
        <v>100.9</v>
      </c>
      <c r="I463">
        <v>100</v>
      </c>
      <c r="K463">
        <f t="shared" si="85"/>
        <v>0</v>
      </c>
      <c r="L463">
        <f t="shared" si="86"/>
        <v>0</v>
      </c>
      <c r="M463">
        <f t="shared" si="87"/>
        <v>0</v>
      </c>
      <c r="N463">
        <f t="shared" si="88"/>
        <v>0</v>
      </c>
      <c r="AB463">
        <f t="shared" si="80"/>
        <v>2.9066612967641723E-3</v>
      </c>
      <c r="AC463">
        <f t="shared" si="81"/>
        <v>2.6702760491312599E-3</v>
      </c>
      <c r="AD463">
        <f t="shared" si="82"/>
        <v>2.7248598174019162E-3</v>
      </c>
      <c r="AE463">
        <f t="shared" si="83"/>
        <v>2.9736140632522748E-3</v>
      </c>
      <c r="AF463">
        <f t="shared" si="84"/>
        <v>3.0126030218252317E-3</v>
      </c>
      <c r="AG463">
        <f t="shared" si="89"/>
        <v>2.8859760580107066E-3</v>
      </c>
    </row>
    <row r="464" spans="1:33" x14ac:dyDescent="0.3">
      <c r="A464" s="17">
        <v>45944</v>
      </c>
      <c r="B464">
        <v>103.1</v>
      </c>
      <c r="C464">
        <v>102.5</v>
      </c>
      <c r="D464">
        <v>116.2</v>
      </c>
      <c r="E464">
        <v>115.3</v>
      </c>
      <c r="F464">
        <v>105.3</v>
      </c>
      <c r="G464">
        <v>104.35</v>
      </c>
      <c r="H464">
        <v>101.2</v>
      </c>
      <c r="I464">
        <v>100.3</v>
      </c>
      <c r="K464">
        <f t="shared" si="85"/>
        <v>1.4644864711644719E-3</v>
      </c>
      <c r="L464">
        <f t="shared" si="86"/>
        <v>3.0401760658226723E-3</v>
      </c>
      <c r="M464">
        <f t="shared" si="87"/>
        <v>2.8790806835662769E-3</v>
      </c>
      <c r="N464">
        <f t="shared" si="88"/>
        <v>2.9688294938018489E-3</v>
      </c>
      <c r="AB464">
        <f t="shared" si="80"/>
        <v>3.6065272081292894E-3</v>
      </c>
      <c r="AC464">
        <f t="shared" si="81"/>
        <v>4.5529130617758869E-3</v>
      </c>
      <c r="AD464">
        <f t="shared" si="82"/>
        <v>2.9717017869037472E-3</v>
      </c>
      <c r="AE464">
        <f t="shared" si="83"/>
        <v>4.4578634450145108E-3</v>
      </c>
      <c r="AF464">
        <f t="shared" si="84"/>
        <v>3.724163730765684E-3</v>
      </c>
      <c r="AG464">
        <f t="shared" si="89"/>
        <v>5.1182541500015589E-3</v>
      </c>
    </row>
    <row r="465" spans="1:33" x14ac:dyDescent="0.3">
      <c r="A465" s="17">
        <v>45945</v>
      </c>
      <c r="B465">
        <v>103.15</v>
      </c>
      <c r="C465">
        <v>102.55</v>
      </c>
      <c r="D465">
        <v>116.65</v>
      </c>
      <c r="E465">
        <v>115.75</v>
      </c>
      <c r="F465">
        <v>105.8</v>
      </c>
      <c r="G465">
        <v>104.9</v>
      </c>
      <c r="H465">
        <v>101.55</v>
      </c>
      <c r="I465">
        <v>100.65</v>
      </c>
      <c r="K465">
        <f t="shared" si="85"/>
        <v>4.8768593992674897E-4</v>
      </c>
      <c r="L465">
        <f t="shared" si="86"/>
        <v>3.8952656913301903E-3</v>
      </c>
      <c r="M465">
        <f t="shared" si="87"/>
        <v>5.2568818790419509E-3</v>
      </c>
      <c r="N465">
        <f t="shared" si="88"/>
        <v>3.4525311730284462E-3</v>
      </c>
      <c r="AB465">
        <f t="shared" si="80"/>
        <v>8.5127154776271086E-3</v>
      </c>
      <c r="AC465">
        <f t="shared" si="81"/>
        <v>1.1732005188390982E-2</v>
      </c>
      <c r="AD465">
        <f t="shared" si="82"/>
        <v>3.3563979623587878E-3</v>
      </c>
      <c r="AE465">
        <f t="shared" si="83"/>
        <v>1.0777067542044397E-2</v>
      </c>
      <c r="AF465">
        <f t="shared" si="84"/>
        <v>6.8701371357721402E-3</v>
      </c>
      <c r="AG465">
        <f t="shared" si="89"/>
        <v>1.2503523704080722E-2</v>
      </c>
    </row>
    <row r="466" spans="1:33" x14ac:dyDescent="0.3">
      <c r="A466" s="17">
        <v>45946</v>
      </c>
      <c r="B466">
        <v>103.45</v>
      </c>
      <c r="C466">
        <v>102.85</v>
      </c>
      <c r="D466">
        <v>117.75</v>
      </c>
      <c r="E466">
        <v>116.8</v>
      </c>
      <c r="F466">
        <v>107.2</v>
      </c>
      <c r="G466">
        <v>106.3</v>
      </c>
      <c r="H466">
        <v>101.9</v>
      </c>
      <c r="I466">
        <v>101</v>
      </c>
      <c r="K466">
        <f t="shared" si="85"/>
        <v>2.9211315805766323E-3</v>
      </c>
      <c r="L466">
        <f t="shared" si="86"/>
        <v>9.0303774277831709E-3</v>
      </c>
      <c r="M466">
        <f t="shared" si="87"/>
        <v>1.3257769945650718E-2</v>
      </c>
      <c r="N466">
        <f t="shared" si="88"/>
        <v>3.440652202285531E-3</v>
      </c>
      <c r="AB466">
        <f t="shared" si="80"/>
        <v>-1.6510055885813042E-3</v>
      </c>
      <c r="AC466">
        <f t="shared" si="81"/>
        <v>-2.5526113924001408E-3</v>
      </c>
      <c r="AD466">
        <f t="shared" si="82"/>
        <v>2.7150140603694269E-3</v>
      </c>
      <c r="AE466">
        <f t="shared" si="83"/>
        <v>-2.173419973522636E-3</v>
      </c>
      <c r="AF466">
        <f t="shared" si="84"/>
        <v>2.7366476969201223E-4</v>
      </c>
      <c r="AG466">
        <f t="shared" si="89"/>
        <v>-2.3456179141196202E-3</v>
      </c>
    </row>
    <row r="467" spans="1:33" x14ac:dyDescent="0.3">
      <c r="A467" s="17">
        <v>45947</v>
      </c>
      <c r="B467">
        <v>103.35</v>
      </c>
      <c r="C467">
        <v>102.75</v>
      </c>
      <c r="D467">
        <v>117.5</v>
      </c>
      <c r="E467">
        <v>116.6</v>
      </c>
      <c r="F467">
        <v>106.9</v>
      </c>
      <c r="G467">
        <v>106</v>
      </c>
      <c r="H467">
        <v>102.25</v>
      </c>
      <c r="I467">
        <v>101.35</v>
      </c>
      <c r="K467">
        <f t="shared" si="85"/>
        <v>-9.7276272262217071E-4</v>
      </c>
      <c r="L467">
        <f t="shared" si="86"/>
        <v>-1.7137964777347416E-3</v>
      </c>
      <c r="M467">
        <f t="shared" si="87"/>
        <v>-2.8261912358350815E-3</v>
      </c>
      <c r="N467">
        <f t="shared" si="88"/>
        <v>3.428854694232012E-3</v>
      </c>
      <c r="AB467">
        <f t="shared" si="80"/>
        <v>-3.1648373486679979E-3</v>
      </c>
      <c r="AC467">
        <f t="shared" si="81"/>
        <v>-2.7327719805611272E-3</v>
      </c>
      <c r="AD467">
        <f t="shared" si="82"/>
        <v>-1.6108962025478471E-3</v>
      </c>
      <c r="AE467">
        <f t="shared" si="83"/>
        <v>-2.7397452073253808E-3</v>
      </c>
      <c r="AF467">
        <f t="shared" si="84"/>
        <v>-2.2225702201736268E-3</v>
      </c>
      <c r="AG467">
        <f t="shared" si="89"/>
        <v>-2.2550358781236188E-3</v>
      </c>
    </row>
    <row r="468" spans="1:33" x14ac:dyDescent="0.3">
      <c r="A468" s="17">
        <v>45950</v>
      </c>
      <c r="B468">
        <v>102.85</v>
      </c>
      <c r="C468">
        <v>102.25</v>
      </c>
      <c r="D468">
        <v>117.15</v>
      </c>
      <c r="E468">
        <v>116.25</v>
      </c>
      <c r="F468">
        <v>106.65</v>
      </c>
      <c r="G468">
        <v>105.75</v>
      </c>
      <c r="H468">
        <v>102.15</v>
      </c>
      <c r="I468">
        <v>101.25</v>
      </c>
      <c r="K468">
        <f t="shared" si="85"/>
        <v>-4.8780584534328549E-3</v>
      </c>
      <c r="L468">
        <f t="shared" si="86"/>
        <v>-3.0062294489262239E-3</v>
      </c>
      <c r="M468">
        <f t="shared" si="87"/>
        <v>-2.3612761856798199E-3</v>
      </c>
      <c r="N468">
        <f t="shared" si="88"/>
        <v>-9.7847365928000027E-4</v>
      </c>
      <c r="AB468">
        <f t="shared" si="80"/>
        <v>-2.9891550030113102E-3</v>
      </c>
      <c r="AC468">
        <f t="shared" si="81"/>
        <v>6.3124374576316146E-3</v>
      </c>
      <c r="AD468">
        <f t="shared" si="82"/>
        <v>5.2236445180332729E-3</v>
      </c>
      <c r="AE468">
        <f t="shared" si="83"/>
        <v>8.9740471631269284E-4</v>
      </c>
      <c r="AF468">
        <f t="shared" si="84"/>
        <v>1.4862804972225283E-4</v>
      </c>
      <c r="AG468">
        <f t="shared" si="89"/>
        <v>6.9741544869933638E-3</v>
      </c>
    </row>
    <row r="469" spans="1:33" x14ac:dyDescent="0.3">
      <c r="A469" s="17">
        <v>45951</v>
      </c>
      <c r="B469">
        <v>103.05</v>
      </c>
      <c r="C469">
        <v>102.45</v>
      </c>
      <c r="D469">
        <v>116.75</v>
      </c>
      <c r="E469">
        <v>115.85</v>
      </c>
      <c r="F469">
        <v>107.4</v>
      </c>
      <c r="G469">
        <v>106.5</v>
      </c>
      <c r="H469">
        <v>102.75</v>
      </c>
      <c r="I469">
        <v>101.85</v>
      </c>
      <c r="K469">
        <f t="shared" si="85"/>
        <v>1.9540797619977319E-3</v>
      </c>
      <c r="L469">
        <f t="shared" si="86"/>
        <v>-3.4467935890805713E-3</v>
      </c>
      <c r="M469">
        <f t="shared" si="87"/>
        <v>7.0671672230923528E-3</v>
      </c>
      <c r="N469">
        <f t="shared" si="88"/>
        <v>5.8565321127129685E-3</v>
      </c>
      <c r="AB469">
        <f t="shared" si="80"/>
        <v>5.9888989100569268E-3</v>
      </c>
      <c r="AC469">
        <f t="shared" si="81"/>
        <v>9.4400034615080741E-4</v>
      </c>
      <c r="AD469">
        <f t="shared" si="82"/>
        <v>1.5822137091420398E-4</v>
      </c>
      <c r="AE469">
        <f t="shared" si="83"/>
        <v>4.1745224247651709E-3</v>
      </c>
      <c r="AF469">
        <f t="shared" si="84"/>
        <v>3.959147255277776E-3</v>
      </c>
      <c r="AG469">
        <f t="shared" si="89"/>
        <v>8.6641986359273096E-4</v>
      </c>
    </row>
    <row r="470" spans="1:33" x14ac:dyDescent="0.3">
      <c r="A470" s="17">
        <v>45952</v>
      </c>
      <c r="B470">
        <v>103.15</v>
      </c>
      <c r="C470">
        <v>102.55</v>
      </c>
      <c r="D470">
        <v>117.5</v>
      </c>
      <c r="E470">
        <v>116.6</v>
      </c>
      <c r="F470">
        <v>107.5</v>
      </c>
      <c r="G470">
        <v>106.6</v>
      </c>
      <c r="H470">
        <v>102.75</v>
      </c>
      <c r="I470">
        <v>101.85</v>
      </c>
      <c r="K470">
        <f t="shared" si="85"/>
        <v>9.7560983348080087E-4</v>
      </c>
      <c r="L470">
        <f t="shared" si="86"/>
        <v>6.4530230380066902E-3</v>
      </c>
      <c r="M470">
        <f t="shared" si="87"/>
        <v>9.3852658226428677E-4</v>
      </c>
      <c r="N470">
        <f t="shared" si="88"/>
        <v>0</v>
      </c>
      <c r="AB470">
        <f t="shared" si="80"/>
        <v>-1.3850213439268561E-3</v>
      </c>
      <c r="AC470">
        <f t="shared" si="81"/>
        <v>-2.361674178263756E-3</v>
      </c>
      <c r="AD470">
        <f t="shared" si="82"/>
        <v>-2.0282316851507249E-3</v>
      </c>
      <c r="AE470">
        <f t="shared" si="83"/>
        <v>-1.7255385460167015E-3</v>
      </c>
      <c r="AF470">
        <f t="shared" si="84"/>
        <v>-1.542767068023546E-3</v>
      </c>
      <c r="AG470">
        <f t="shared" si="89"/>
        <v>-2.317268841825394E-3</v>
      </c>
    </row>
    <row r="471" spans="1:33" x14ac:dyDescent="0.3">
      <c r="A471" s="17">
        <v>45953</v>
      </c>
      <c r="B471">
        <v>102.9</v>
      </c>
      <c r="C471">
        <v>102.3</v>
      </c>
      <c r="D471">
        <v>117.35</v>
      </c>
      <c r="E471">
        <v>116.45</v>
      </c>
      <c r="F471">
        <v>107.25</v>
      </c>
      <c r="G471">
        <v>106.35</v>
      </c>
      <c r="H471">
        <v>102.55</v>
      </c>
      <c r="I471">
        <v>101.65</v>
      </c>
      <c r="K471">
        <f t="shared" si="85"/>
        <v>-2.4408115608088089E-3</v>
      </c>
      <c r="L471">
        <f t="shared" si="86"/>
        <v>-1.287277586041885E-3</v>
      </c>
      <c r="M471">
        <f t="shared" si="87"/>
        <v>-2.3479700854979789E-3</v>
      </c>
      <c r="N471">
        <f t="shared" si="88"/>
        <v>-1.9483688579543901E-3</v>
      </c>
      <c r="AB471">
        <f t="shared" si="80"/>
        <v>1.2415266998748158E-4</v>
      </c>
      <c r="AC471">
        <f t="shared" si="81"/>
        <v>2.217666905474681E-3</v>
      </c>
      <c r="AD471">
        <f t="shared" si="82"/>
        <v>2.3762186276513381E-4</v>
      </c>
      <c r="AE471">
        <f t="shared" si="83"/>
        <v>9.7014320756501728E-4</v>
      </c>
      <c r="AF471">
        <f t="shared" si="84"/>
        <v>0</v>
      </c>
      <c r="AG471">
        <f t="shared" si="89"/>
        <v>2.1675762409296339E-3</v>
      </c>
    </row>
    <row r="472" spans="1:33" x14ac:dyDescent="0.3">
      <c r="A472" s="17">
        <v>45954</v>
      </c>
      <c r="B472">
        <v>103.05</v>
      </c>
      <c r="C472">
        <v>102.45</v>
      </c>
      <c r="D472">
        <v>117.35</v>
      </c>
      <c r="E472">
        <v>116.45</v>
      </c>
      <c r="F472">
        <v>107.5</v>
      </c>
      <c r="G472">
        <v>106.6</v>
      </c>
      <c r="H472">
        <v>102.55</v>
      </c>
      <c r="I472">
        <v>101.65</v>
      </c>
      <c r="K472">
        <f t="shared" si="85"/>
        <v>1.4652017273279626E-3</v>
      </c>
      <c r="L472">
        <f t="shared" si="86"/>
        <v>0</v>
      </c>
      <c r="M472">
        <f t="shared" si="87"/>
        <v>2.3479700854979646E-3</v>
      </c>
      <c r="N472">
        <f t="shared" si="88"/>
        <v>0</v>
      </c>
      <c r="AB472">
        <f t="shared" si="80"/>
        <v>4.7556976871301416E-4</v>
      </c>
      <c r="AC472">
        <f t="shared" si="81"/>
        <v>1.44007272789056E-4</v>
      </c>
      <c r="AD472">
        <f t="shared" si="82"/>
        <v>5.6661675198450205E-4</v>
      </c>
      <c r="AE472">
        <f t="shared" si="83"/>
        <v>2.5190650643137631E-4</v>
      </c>
      <c r="AF472">
        <f t="shared" si="84"/>
        <v>4.5175801495169518E-4</v>
      </c>
      <c r="AG472">
        <f t="shared" si="89"/>
        <v>3.7450501889497459E-5</v>
      </c>
    </row>
    <row r="473" spans="1:33" x14ac:dyDescent="0.3">
      <c r="A473" s="17">
        <v>45957</v>
      </c>
      <c r="B473">
        <v>103.15</v>
      </c>
      <c r="C473">
        <v>102.55</v>
      </c>
      <c r="D473">
        <v>117.4</v>
      </c>
      <c r="E473">
        <v>116.5</v>
      </c>
      <c r="F473">
        <v>107.5</v>
      </c>
      <c r="G473">
        <v>106.6</v>
      </c>
      <c r="H473">
        <v>102.6</v>
      </c>
      <c r="I473">
        <v>101.7</v>
      </c>
      <c r="K473">
        <f t="shared" si="85"/>
        <v>9.7560983348080087E-4</v>
      </c>
      <c r="L473">
        <f t="shared" si="86"/>
        <v>4.2927667540533808E-4</v>
      </c>
      <c r="M473">
        <f t="shared" si="87"/>
        <v>0</v>
      </c>
      <c r="N473">
        <f t="shared" si="88"/>
        <v>4.8744821827951753E-4</v>
      </c>
      <c r="AB473">
        <f t="shared" si="80"/>
        <v>-2.3599475504225663E-3</v>
      </c>
      <c r="AC473">
        <f t="shared" si="81"/>
        <v>-2.4022351938071894E-3</v>
      </c>
      <c r="AD473">
        <f t="shared" si="82"/>
        <v>4.0819640645535754E-4</v>
      </c>
      <c r="AE473">
        <f t="shared" si="83"/>
        <v>-2.6775091530315933E-3</v>
      </c>
      <c r="AF473">
        <f t="shared" si="84"/>
        <v>-1.3936623777095415E-3</v>
      </c>
      <c r="AG473">
        <f t="shared" si="89"/>
        <v>-2.5642706318856788E-3</v>
      </c>
    </row>
    <row r="474" spans="1:33" x14ac:dyDescent="0.3">
      <c r="A474" s="17">
        <v>45958</v>
      </c>
      <c r="B474">
        <v>103.15</v>
      </c>
      <c r="C474">
        <v>102.55</v>
      </c>
      <c r="D474">
        <v>117.1</v>
      </c>
      <c r="E474">
        <v>116.2</v>
      </c>
      <c r="F474">
        <v>107.2</v>
      </c>
      <c r="G474">
        <v>106.3</v>
      </c>
      <c r="H474">
        <v>102.65</v>
      </c>
      <c r="I474">
        <v>101.75</v>
      </c>
      <c r="K474">
        <f t="shared" si="85"/>
        <v>0</v>
      </c>
      <c r="L474">
        <f t="shared" si="86"/>
        <v>-2.5784285879443649E-3</v>
      </c>
      <c r="M474">
        <f t="shared" si="87"/>
        <v>-2.8182263838418893E-3</v>
      </c>
      <c r="N474">
        <f t="shared" si="88"/>
        <v>4.8721072827343214E-4</v>
      </c>
      <c r="AB474">
        <f t="shared" si="80"/>
        <v>7.8732548329613137E-4</v>
      </c>
      <c r="AC474">
        <f t="shared" si="81"/>
        <v>4.398939215515707E-3</v>
      </c>
      <c r="AD474">
        <f t="shared" si="82"/>
        <v>-1.2251863372852443E-3</v>
      </c>
      <c r="AE474">
        <f t="shared" si="83"/>
        <v>2.6371043262909304E-3</v>
      </c>
      <c r="AF474">
        <f t="shared" si="84"/>
        <v>-3.737600468829694E-5</v>
      </c>
      <c r="AG474">
        <f t="shared" si="89"/>
        <v>4.6518501202360363E-3</v>
      </c>
    </row>
    <row r="475" spans="1:33" x14ac:dyDescent="0.3">
      <c r="A475" s="17">
        <v>45959</v>
      </c>
      <c r="B475">
        <v>103.15</v>
      </c>
      <c r="C475">
        <v>102.55</v>
      </c>
      <c r="D475">
        <v>117.2</v>
      </c>
      <c r="E475">
        <v>116.3</v>
      </c>
      <c r="F475">
        <v>107.75</v>
      </c>
      <c r="G475">
        <v>106.85</v>
      </c>
      <c r="H475">
        <v>102.5</v>
      </c>
      <c r="I475">
        <v>101.6</v>
      </c>
      <c r="K475">
        <f t="shared" si="85"/>
        <v>0</v>
      </c>
      <c r="L475">
        <f t="shared" si="86"/>
        <v>8.6021510680792915E-4</v>
      </c>
      <c r="M475">
        <f t="shared" si="87"/>
        <v>5.1606964172543649E-3</v>
      </c>
      <c r="N475">
        <f t="shared" si="88"/>
        <v>-1.4623448864797524E-3</v>
      </c>
      <c r="AB475">
        <f t="shared" si="80"/>
        <v>-2.61225602704371E-3</v>
      </c>
      <c r="AC475">
        <f t="shared" si="81"/>
        <v>-3.3663838736260152E-5</v>
      </c>
      <c r="AD475">
        <f t="shared" si="82"/>
        <v>-4.7512795406730887E-4</v>
      </c>
      <c r="AE475">
        <f t="shared" si="83"/>
        <v>-1.3223666572463797E-3</v>
      </c>
      <c r="AF475">
        <f t="shared" si="84"/>
        <v>-1.5846768791380349E-3</v>
      </c>
      <c r="AG475">
        <f t="shared" si="89"/>
        <v>4.3189254443652697E-4</v>
      </c>
    </row>
    <row r="476" spans="1:33" x14ac:dyDescent="0.3">
      <c r="A476" s="17">
        <v>45960</v>
      </c>
      <c r="B476">
        <v>102.85</v>
      </c>
      <c r="C476">
        <v>102.25</v>
      </c>
      <c r="D476">
        <v>116.9</v>
      </c>
      <c r="E476">
        <v>116</v>
      </c>
      <c r="F476">
        <v>107.8</v>
      </c>
      <c r="G476">
        <v>106.9</v>
      </c>
      <c r="H476">
        <v>102.5</v>
      </c>
      <c r="I476">
        <v>101.6</v>
      </c>
      <c r="K476">
        <f t="shared" si="85"/>
        <v>-2.9296895954784548E-3</v>
      </c>
      <c r="L476">
        <f t="shared" si="86"/>
        <v>-2.5828684182540775E-3</v>
      </c>
      <c r="M476">
        <f t="shared" si="87"/>
        <v>4.6783626584301797E-4</v>
      </c>
      <c r="N476">
        <f t="shared" si="88"/>
        <v>0</v>
      </c>
      <c r="AB476">
        <f t="shared" si="80"/>
        <v>-1.1842992610658022E-3</v>
      </c>
      <c r="AC476">
        <f t="shared" si="81"/>
        <v>-1.1969005810714406E-3</v>
      </c>
      <c r="AD476">
        <f t="shared" si="82"/>
        <v>0</v>
      </c>
      <c r="AE476">
        <f t="shared" si="83"/>
        <v>-1.3394836994535643E-3</v>
      </c>
      <c r="AF476">
        <f t="shared" si="84"/>
        <v>-7.938759666478736E-4</v>
      </c>
      <c r="AG476">
        <f t="shared" si="89"/>
        <v>-1.2962842713477413E-3</v>
      </c>
    </row>
    <row r="477" spans="1:33" x14ac:dyDescent="0.3">
      <c r="A477" s="17">
        <v>45961</v>
      </c>
      <c r="B477">
        <v>102.85</v>
      </c>
      <c r="C477">
        <v>102.25</v>
      </c>
      <c r="D477">
        <v>116.8</v>
      </c>
      <c r="E477">
        <v>115.85</v>
      </c>
      <c r="F477">
        <v>107.65</v>
      </c>
      <c r="G477">
        <v>106.75</v>
      </c>
      <c r="H477">
        <v>102.5</v>
      </c>
      <c r="I477">
        <v>101.6</v>
      </c>
      <c r="K477">
        <f t="shared" si="85"/>
        <v>0</v>
      </c>
      <c r="L477">
        <f t="shared" si="86"/>
        <v>-1.2939402279795057E-3</v>
      </c>
      <c r="M477">
        <f t="shared" si="87"/>
        <v>-1.4041659222656282E-3</v>
      </c>
      <c r="N477">
        <f t="shared" si="88"/>
        <v>0</v>
      </c>
      <c r="AB477">
        <f t="shared" si="80"/>
        <v>-2.8522490946216745E-3</v>
      </c>
      <c r="AC477">
        <f t="shared" si="81"/>
        <v>-1.7429162712135683E-3</v>
      </c>
      <c r="AD477">
        <f t="shared" si="82"/>
        <v>-2.6144465623356991E-3</v>
      </c>
      <c r="AE477">
        <f t="shared" si="83"/>
        <v>-2.5503829688137266E-3</v>
      </c>
      <c r="AF477">
        <f t="shared" si="84"/>
        <v>-2.9891611652091594E-3</v>
      </c>
      <c r="AG477">
        <f t="shared" si="89"/>
        <v>-1.9564124578522486E-3</v>
      </c>
    </row>
    <row r="478" spans="1:33" x14ac:dyDescent="0.3">
      <c r="A478" s="17">
        <v>45964</v>
      </c>
      <c r="B478">
        <v>102.75</v>
      </c>
      <c r="C478">
        <v>102.15</v>
      </c>
      <c r="D478">
        <v>116.4</v>
      </c>
      <c r="E478">
        <v>115.5</v>
      </c>
      <c r="F478">
        <v>107.45</v>
      </c>
      <c r="G478">
        <v>106.55</v>
      </c>
      <c r="H478">
        <v>102.2</v>
      </c>
      <c r="I478">
        <v>101.3</v>
      </c>
      <c r="K478">
        <f t="shared" si="85"/>
        <v>-9.7847365928000027E-4</v>
      </c>
      <c r="L478">
        <f t="shared" si="86"/>
        <v>-3.0257209165369561E-3</v>
      </c>
      <c r="M478">
        <f t="shared" si="87"/>
        <v>-1.8752935641078139E-3</v>
      </c>
      <c r="N478">
        <f t="shared" si="88"/>
        <v>-2.9311208088588121E-3</v>
      </c>
      <c r="AB478">
        <f t="shared" si="80"/>
        <v>-1.1479642071199618E-3</v>
      </c>
      <c r="AC478">
        <f t="shared" si="81"/>
        <v>-5.1436476945124175E-3</v>
      </c>
      <c r="AD478">
        <f t="shared" si="82"/>
        <v>8.987492850602649E-4</v>
      </c>
      <c r="AE478">
        <f t="shared" si="83"/>
        <v>-3.2909097141193338E-3</v>
      </c>
      <c r="AF478">
        <f t="shared" si="84"/>
        <v>-4.1935273489162228E-4</v>
      </c>
      <c r="AG478">
        <f t="shared" si="89"/>
        <v>-5.5738377649065174E-3</v>
      </c>
    </row>
    <row r="479" spans="1:33" x14ac:dyDescent="0.3">
      <c r="A479" s="17">
        <v>45965</v>
      </c>
      <c r="B479">
        <v>102.8</v>
      </c>
      <c r="C479">
        <v>102.2</v>
      </c>
      <c r="D479">
        <v>116.3</v>
      </c>
      <c r="E479">
        <v>115.35</v>
      </c>
      <c r="F479">
        <v>106.8</v>
      </c>
      <c r="G479">
        <v>105.9</v>
      </c>
      <c r="H479">
        <v>102.3</v>
      </c>
      <c r="I479">
        <v>101.4</v>
      </c>
      <c r="K479">
        <f t="shared" si="85"/>
        <v>4.8935650597292505E-4</v>
      </c>
      <c r="L479">
        <f t="shared" si="86"/>
        <v>-1.2995453420856146E-3</v>
      </c>
      <c r="M479">
        <f t="shared" si="87"/>
        <v>-6.1191059372653293E-3</v>
      </c>
      <c r="N479">
        <f t="shared" si="88"/>
        <v>9.7799518797670989E-4</v>
      </c>
      <c r="AB479">
        <f t="shared" si="80"/>
        <v>4.144494194017193E-5</v>
      </c>
      <c r="AC479">
        <f t="shared" si="81"/>
        <v>2.0820840383173889E-3</v>
      </c>
      <c r="AD479">
        <f t="shared" si="82"/>
        <v>1.3069033644683039E-3</v>
      </c>
      <c r="AE479">
        <f t="shared" si="83"/>
        <v>9.742607727344757E-4</v>
      </c>
      <c r="AF479">
        <f t="shared" si="84"/>
        <v>5.662510552146571E-4</v>
      </c>
      <c r="AG479">
        <f t="shared" si="89"/>
        <v>2.2893470679786485E-3</v>
      </c>
    </row>
    <row r="480" spans="1:33" x14ac:dyDescent="0.3">
      <c r="A480" s="17">
        <v>45966</v>
      </c>
      <c r="B480">
        <v>102.85</v>
      </c>
      <c r="C480">
        <v>102.25</v>
      </c>
      <c r="D480">
        <v>116.3</v>
      </c>
      <c r="E480">
        <v>115.35</v>
      </c>
      <c r="F480">
        <v>107.05</v>
      </c>
      <c r="G480">
        <v>106.15</v>
      </c>
      <c r="H480">
        <v>102.45</v>
      </c>
      <c r="I480">
        <v>101.55</v>
      </c>
      <c r="K480">
        <f t="shared" si="85"/>
        <v>4.8911715330705343E-4</v>
      </c>
      <c r="L480">
        <f t="shared" si="86"/>
        <v>0</v>
      </c>
      <c r="M480">
        <f t="shared" si="87"/>
        <v>2.3579355419043879E-3</v>
      </c>
      <c r="N480">
        <f t="shared" si="88"/>
        <v>1.4652017273279626E-3</v>
      </c>
      <c r="AB480">
        <f t="shared" si="80"/>
        <v>-3.96820217745368E-4</v>
      </c>
      <c r="AC480">
        <f t="shared" si="81"/>
        <v>-1.6075300513650271E-3</v>
      </c>
      <c r="AD480">
        <f t="shared" si="82"/>
        <v>-1.2275798645628533E-3</v>
      </c>
      <c r="AE480">
        <f t="shared" si="83"/>
        <v>-1.0336432245274033E-3</v>
      </c>
      <c r="AF480">
        <f t="shared" si="84"/>
        <v>-8.3225310748692781E-4</v>
      </c>
      <c r="AG480">
        <f t="shared" si="89"/>
        <v>-1.8535810476640994E-3</v>
      </c>
    </row>
    <row r="481" spans="1:33" x14ac:dyDescent="0.3">
      <c r="A481" s="17">
        <v>45967</v>
      </c>
      <c r="B481">
        <v>102.85</v>
      </c>
      <c r="C481">
        <v>102.25</v>
      </c>
      <c r="D481">
        <v>116.25</v>
      </c>
      <c r="E481">
        <v>115.3</v>
      </c>
      <c r="F481">
        <v>106.85</v>
      </c>
      <c r="G481">
        <v>105.95</v>
      </c>
      <c r="H481">
        <v>102.3</v>
      </c>
      <c r="I481">
        <v>101.4</v>
      </c>
      <c r="K481">
        <f t="shared" si="85"/>
        <v>0</v>
      </c>
      <c r="L481">
        <f t="shared" si="86"/>
        <v>-4.3355734474936019E-4</v>
      </c>
      <c r="M481">
        <f t="shared" si="87"/>
        <v>-1.8859034349570224E-3</v>
      </c>
      <c r="N481">
        <f t="shared" si="88"/>
        <v>-1.4652017273279918E-3</v>
      </c>
      <c r="AB481">
        <f t="shared" si="80"/>
        <v>-2.1110815531030069E-3</v>
      </c>
      <c r="AC481">
        <f t="shared" si="81"/>
        <v>1.854687968833108E-4</v>
      </c>
      <c r="AD481">
        <f t="shared" si="82"/>
        <v>-2.6986558884428032E-3</v>
      </c>
      <c r="AE481">
        <f t="shared" si="83"/>
        <v>-1.0788055717362354E-3</v>
      </c>
      <c r="AF481">
        <f t="shared" si="84"/>
        <v>-2.4667401446883978E-3</v>
      </c>
      <c r="AG481">
        <f t="shared" si="89"/>
        <v>2.0992236504541314E-4</v>
      </c>
    </row>
    <row r="482" spans="1:33" x14ac:dyDescent="0.3">
      <c r="A482" s="17">
        <v>45968</v>
      </c>
      <c r="B482">
        <v>102.7</v>
      </c>
      <c r="C482">
        <v>102.1</v>
      </c>
      <c r="D482">
        <v>116</v>
      </c>
      <c r="E482">
        <v>115.05</v>
      </c>
      <c r="F482">
        <v>106.9</v>
      </c>
      <c r="G482">
        <v>106</v>
      </c>
      <c r="H482">
        <v>102</v>
      </c>
      <c r="I482">
        <v>101.1</v>
      </c>
      <c r="K482">
        <f t="shared" si="85"/>
        <v>-1.4680697522912731E-3</v>
      </c>
      <c r="L482">
        <f t="shared" si="86"/>
        <v>-2.1706107936384387E-3</v>
      </c>
      <c r="M482">
        <f t="shared" si="87"/>
        <v>4.7180939775896174E-4</v>
      </c>
      <c r="N482">
        <f t="shared" si="88"/>
        <v>-2.9368596733097135E-3</v>
      </c>
      <c r="AB482">
        <f t="shared" si="80"/>
        <v>4.1485524504290782E-5</v>
      </c>
      <c r="AC482">
        <f t="shared" si="81"/>
        <v>-1.1348021159791855E-3</v>
      </c>
      <c r="AD482">
        <f t="shared" si="82"/>
        <v>1.3105889148810517E-3</v>
      </c>
      <c r="AE482">
        <f t="shared" si="83"/>
        <v>-5.8510814915342939E-4</v>
      </c>
      <c r="AF482">
        <f t="shared" si="84"/>
        <v>5.6791527640117983E-4</v>
      </c>
      <c r="AG482">
        <f t="shared" si="89"/>
        <v>-1.1943963933687012E-3</v>
      </c>
    </row>
    <row r="483" spans="1:33" x14ac:dyDescent="0.3">
      <c r="A483" s="17">
        <v>45971</v>
      </c>
      <c r="B483">
        <v>102.75</v>
      </c>
      <c r="C483">
        <v>102.15</v>
      </c>
      <c r="D483">
        <v>116</v>
      </c>
      <c r="E483">
        <v>115.05</v>
      </c>
      <c r="F483">
        <v>106.75</v>
      </c>
      <c r="G483">
        <v>105.85</v>
      </c>
      <c r="H483">
        <v>102.15</v>
      </c>
      <c r="I483">
        <v>101.25</v>
      </c>
      <c r="K483">
        <f t="shared" si="85"/>
        <v>4.8959609301130896E-4</v>
      </c>
      <c r="L483">
        <f t="shared" si="86"/>
        <v>0</v>
      </c>
      <c r="M483">
        <f t="shared" si="87"/>
        <v>-1.4160965311930639E-3</v>
      </c>
      <c r="N483">
        <f t="shared" si="88"/>
        <v>1.469507979359978E-3</v>
      </c>
      <c r="AB483">
        <f t="shared" si="80"/>
        <v>0</v>
      </c>
      <c r="AC483">
        <f t="shared" si="81"/>
        <v>0</v>
      </c>
      <c r="AD483">
        <f t="shared" si="82"/>
        <v>0</v>
      </c>
      <c r="AE483">
        <f t="shared" si="83"/>
        <v>0</v>
      </c>
      <c r="AF483">
        <f t="shared" si="84"/>
        <v>0</v>
      </c>
      <c r="AG483">
        <f t="shared" si="89"/>
        <v>0</v>
      </c>
    </row>
    <row r="484" spans="1:33" x14ac:dyDescent="0.3">
      <c r="A484" s="17">
        <v>45972</v>
      </c>
      <c r="B484">
        <v>102.75</v>
      </c>
      <c r="C484">
        <v>102.15</v>
      </c>
      <c r="D484">
        <v>116</v>
      </c>
      <c r="E484">
        <v>115.05</v>
      </c>
      <c r="F484">
        <v>106.75</v>
      </c>
      <c r="G484">
        <v>105.85</v>
      </c>
      <c r="H484">
        <v>102.15</v>
      </c>
      <c r="I484">
        <v>101.25</v>
      </c>
      <c r="K484">
        <f t="shared" si="85"/>
        <v>0</v>
      </c>
      <c r="L484">
        <f t="shared" si="86"/>
        <v>0</v>
      </c>
      <c r="M484">
        <f t="shared" si="87"/>
        <v>0</v>
      </c>
      <c r="N484">
        <f t="shared" si="88"/>
        <v>0</v>
      </c>
      <c r="AB484">
        <f t="shared" si="80"/>
        <v>1.275439086893488E-3</v>
      </c>
      <c r="AC484">
        <f t="shared" si="81"/>
        <v>-4.7010168215214643E-3</v>
      </c>
      <c r="AD484">
        <f t="shared" si="82"/>
        <v>1.5868581728246145E-4</v>
      </c>
      <c r="AE484">
        <f t="shared" si="83"/>
        <v>-1.584172187976922E-3</v>
      </c>
      <c r="AF484">
        <f t="shared" si="84"/>
        <v>7.9939258729841358E-4</v>
      </c>
      <c r="AG484">
        <f t="shared" si="89"/>
        <v>-5.2477846489277103E-3</v>
      </c>
    </row>
    <row r="485" spans="1:33" x14ac:dyDescent="0.3">
      <c r="A485" s="17">
        <v>45973</v>
      </c>
      <c r="B485">
        <v>102.85</v>
      </c>
      <c r="C485">
        <v>102.25</v>
      </c>
      <c r="D485">
        <v>116.15</v>
      </c>
      <c r="E485">
        <v>115.2</v>
      </c>
      <c r="F485">
        <v>106.15</v>
      </c>
      <c r="G485">
        <v>105.25</v>
      </c>
      <c r="H485">
        <v>102.15</v>
      </c>
      <c r="I485">
        <v>101.25</v>
      </c>
      <c r="K485">
        <f t="shared" si="85"/>
        <v>9.7847365927992221E-4</v>
      </c>
      <c r="L485">
        <f t="shared" si="86"/>
        <v>1.3029317804160619E-3</v>
      </c>
      <c r="M485">
        <f t="shared" si="87"/>
        <v>-5.6845250183832864E-3</v>
      </c>
      <c r="N485">
        <f t="shared" si="88"/>
        <v>0</v>
      </c>
      <c r="AB485">
        <f t="shared" si="80"/>
        <v>-1.1925289216607301E-3</v>
      </c>
      <c r="AC485">
        <f t="shared" si="81"/>
        <v>-1.2156777298530002E-3</v>
      </c>
      <c r="AD485">
        <f t="shared" si="82"/>
        <v>-1.2311877420227439E-3</v>
      </c>
      <c r="AE485">
        <f t="shared" si="83"/>
        <v>-1.3538620137748618E-3</v>
      </c>
      <c r="AF485">
        <f t="shared" si="84"/>
        <v>-1.3673078636995725E-3</v>
      </c>
      <c r="AG485">
        <f t="shared" si="89"/>
        <v>-1.4295224275476287E-3</v>
      </c>
    </row>
    <row r="486" spans="1:33" x14ac:dyDescent="0.3">
      <c r="A486" s="17">
        <v>45974</v>
      </c>
      <c r="B486">
        <v>102.85</v>
      </c>
      <c r="C486">
        <v>102.25</v>
      </c>
      <c r="D486">
        <v>115.95</v>
      </c>
      <c r="E486">
        <v>115.05</v>
      </c>
      <c r="F486">
        <v>106</v>
      </c>
      <c r="G486">
        <v>105.1</v>
      </c>
      <c r="H486">
        <v>102</v>
      </c>
      <c r="I486">
        <v>101.1</v>
      </c>
      <c r="K486">
        <f t="shared" si="85"/>
        <v>0</v>
      </c>
      <c r="L486">
        <f t="shared" si="86"/>
        <v>-1.3029317804160172E-3</v>
      </c>
      <c r="M486">
        <f t="shared" si="87"/>
        <v>-1.4261946795854508E-3</v>
      </c>
      <c r="N486">
        <f t="shared" si="88"/>
        <v>-1.4695079793599947E-3</v>
      </c>
      <c r="AB486">
        <f t="shared" si="80"/>
        <v>1.589693526674625E-3</v>
      </c>
      <c r="AC486">
        <f t="shared" si="81"/>
        <v>6.4636712157966408E-3</v>
      </c>
      <c r="AD486">
        <f t="shared" si="82"/>
        <v>1.6411819306187169E-3</v>
      </c>
      <c r="AE486">
        <f t="shared" si="83"/>
        <v>4.1523830765119877E-3</v>
      </c>
      <c r="AF486">
        <f t="shared" si="84"/>
        <v>1.8226605569613022E-3</v>
      </c>
      <c r="AG486">
        <f t="shared" si="89"/>
        <v>7.1508760045537216E-3</v>
      </c>
    </row>
    <row r="487" spans="1:33" x14ac:dyDescent="0.3">
      <c r="A487" s="17">
        <v>45975</v>
      </c>
      <c r="B487">
        <v>102.85</v>
      </c>
      <c r="C487">
        <v>102.25</v>
      </c>
      <c r="D487">
        <v>116.15</v>
      </c>
      <c r="E487">
        <v>115.25</v>
      </c>
      <c r="F487">
        <v>106.8</v>
      </c>
      <c r="G487">
        <v>105.9</v>
      </c>
      <c r="H487">
        <v>102.2</v>
      </c>
      <c r="I487">
        <v>101.3</v>
      </c>
      <c r="K487">
        <f t="shared" si="85"/>
        <v>0</v>
      </c>
      <c r="L487">
        <f t="shared" si="86"/>
        <v>1.7368653953830501E-3</v>
      </c>
      <c r="M487">
        <f t="shared" si="87"/>
        <v>7.5829747244555408E-3</v>
      </c>
      <c r="N487">
        <f t="shared" si="88"/>
        <v>1.9588644853329716E-3</v>
      </c>
      <c r="AB487">
        <f t="shared" si="80"/>
        <v>-8.7741179315383843E-4</v>
      </c>
      <c r="AC487">
        <f t="shared" si="81"/>
        <v>-1.4442999479218939E-4</v>
      </c>
      <c r="AD487">
        <f t="shared" si="82"/>
        <v>-1.5868581728247411E-4</v>
      </c>
      <c r="AE487">
        <f t="shared" si="83"/>
        <v>-5.0938909250730115E-4</v>
      </c>
      <c r="AF487">
        <f t="shared" si="84"/>
        <v>-5.3258139104263042E-4</v>
      </c>
      <c r="AG487">
        <f t="shared" si="89"/>
        <v>0</v>
      </c>
    </row>
    <row r="488" spans="1:33" x14ac:dyDescent="0.3">
      <c r="A488" s="17">
        <v>45978</v>
      </c>
      <c r="B488">
        <v>102.75</v>
      </c>
      <c r="C488">
        <v>102.15</v>
      </c>
      <c r="D488">
        <v>116.05</v>
      </c>
      <c r="E488">
        <v>115.15</v>
      </c>
      <c r="F488">
        <v>106.8</v>
      </c>
      <c r="G488">
        <v>105.9</v>
      </c>
      <c r="H488">
        <v>102.2</v>
      </c>
      <c r="I488">
        <v>101.3</v>
      </c>
      <c r="K488">
        <f t="shared" si="85"/>
        <v>-9.7847365928000027E-4</v>
      </c>
      <c r="L488">
        <f t="shared" si="86"/>
        <v>-8.6805561006359161E-4</v>
      </c>
      <c r="M488">
        <f t="shared" si="87"/>
        <v>0</v>
      </c>
      <c r="N488">
        <f t="shared" si="88"/>
        <v>0</v>
      </c>
      <c r="AB488">
        <f t="shared" si="80"/>
        <v>-3.9750959056660641E-4</v>
      </c>
      <c r="AC488">
        <f t="shared" si="81"/>
        <v>-2.4181365354977507E-3</v>
      </c>
      <c r="AD488">
        <f t="shared" si="82"/>
        <v>8.1938696768326942E-4</v>
      </c>
      <c r="AE488">
        <f t="shared" si="83"/>
        <v>-1.4270138757362539E-3</v>
      </c>
      <c r="AF488">
        <f t="shared" si="84"/>
        <v>1.1149799602880008E-4</v>
      </c>
      <c r="AG488">
        <f t="shared" si="89"/>
        <v>-2.5437855045417853E-3</v>
      </c>
    </row>
    <row r="489" spans="1:33" x14ac:dyDescent="0.3">
      <c r="A489" s="17">
        <v>45979</v>
      </c>
      <c r="B489">
        <v>102.75</v>
      </c>
      <c r="C489">
        <v>102.15</v>
      </c>
      <c r="D489">
        <v>116</v>
      </c>
      <c r="E489">
        <v>115.1</v>
      </c>
      <c r="F489">
        <v>106.5</v>
      </c>
      <c r="G489">
        <v>105.6</v>
      </c>
      <c r="H489">
        <v>102.3</v>
      </c>
      <c r="I489">
        <v>101.4</v>
      </c>
      <c r="K489">
        <f t="shared" si="85"/>
        <v>0</v>
      </c>
      <c r="L489">
        <f t="shared" si="86"/>
        <v>-4.3431053885730327E-4</v>
      </c>
      <c r="M489">
        <f t="shared" si="87"/>
        <v>-2.8368813351998378E-3</v>
      </c>
      <c r="N489">
        <f t="shared" si="88"/>
        <v>9.7799518797670989E-4</v>
      </c>
      <c r="AB489">
        <f t="shared" si="80"/>
        <v>8.7775677870664446E-4</v>
      </c>
      <c r="AC489">
        <f t="shared" si="81"/>
        <v>-1.8759372869345326E-3</v>
      </c>
      <c r="AD489">
        <f t="shared" si="82"/>
        <v>1.5868581728246145E-4</v>
      </c>
      <c r="AE489">
        <f t="shared" si="83"/>
        <v>-4.6973078838446884E-4</v>
      </c>
      <c r="AF489">
        <f t="shared" si="84"/>
        <v>5.3281264656074355E-4</v>
      </c>
      <c r="AG489">
        <f t="shared" si="89"/>
        <v>-2.1881268762552336E-3</v>
      </c>
    </row>
    <row r="490" spans="1:33" x14ac:dyDescent="0.3">
      <c r="A490" s="17">
        <v>45980</v>
      </c>
      <c r="B490">
        <v>102.85</v>
      </c>
      <c r="C490">
        <v>102.25</v>
      </c>
      <c r="D490">
        <v>116.1</v>
      </c>
      <c r="E490">
        <v>115.2</v>
      </c>
      <c r="F490">
        <v>106.25</v>
      </c>
      <c r="G490">
        <v>105.35</v>
      </c>
      <c r="H490">
        <v>102.3</v>
      </c>
      <c r="I490">
        <v>101.4</v>
      </c>
      <c r="K490">
        <f t="shared" si="85"/>
        <v>9.7847365927992221E-4</v>
      </c>
      <c r="L490">
        <f t="shared" si="86"/>
        <v>8.6843253395397244E-4</v>
      </c>
      <c r="M490">
        <f t="shared" si="87"/>
        <v>-2.3702310219630143E-3</v>
      </c>
      <c r="N490">
        <f t="shared" si="88"/>
        <v>0</v>
      </c>
      <c r="AB490">
        <f t="shared" si="80"/>
        <v>4.1424680418004019E-5</v>
      </c>
      <c r="AC490">
        <f t="shared" si="81"/>
        <v>4.7661877352373638E-4</v>
      </c>
      <c r="AD490">
        <f t="shared" si="82"/>
        <v>-1.1500964358912241E-3</v>
      </c>
      <c r="AE490">
        <f t="shared" si="83"/>
        <v>1.9605400238767421E-4</v>
      </c>
      <c r="AF490">
        <f t="shared" si="84"/>
        <v>-5.6708194480854953E-4</v>
      </c>
      <c r="AG490">
        <f t="shared" si="89"/>
        <v>3.2530428624439239E-4</v>
      </c>
    </row>
    <row r="491" spans="1:33" x14ac:dyDescent="0.3">
      <c r="A491" s="17">
        <v>45981</v>
      </c>
      <c r="B491">
        <v>102.9</v>
      </c>
      <c r="C491">
        <v>102.3</v>
      </c>
      <c r="D491">
        <v>116.15</v>
      </c>
      <c r="E491">
        <v>115.2</v>
      </c>
      <c r="F491">
        <v>106.3</v>
      </c>
      <c r="G491">
        <v>105.4</v>
      </c>
      <c r="H491">
        <v>102.15</v>
      </c>
      <c r="I491">
        <v>101.25</v>
      </c>
      <c r="K491">
        <f t="shared" si="85"/>
        <v>4.8887803466963944E-4</v>
      </c>
      <c r="L491">
        <f t="shared" si="86"/>
        <v>0</v>
      </c>
      <c r="M491">
        <f t="shared" si="87"/>
        <v>4.744958570640254E-4</v>
      </c>
      <c r="N491">
        <f t="shared" si="88"/>
        <v>-1.4673516939496204E-3</v>
      </c>
      <c r="AB491">
        <f t="shared" si="80"/>
        <v>-2.8264130171014108E-3</v>
      </c>
      <c r="AC491">
        <f t="shared" si="81"/>
        <v>7.3617615305562195E-4</v>
      </c>
      <c r="AD491">
        <f t="shared" si="82"/>
        <v>-7.9284720387967603E-5</v>
      </c>
      <c r="AE491">
        <f t="shared" si="83"/>
        <v>-1.3937464054209494E-3</v>
      </c>
      <c r="AF491">
        <f t="shared" si="84"/>
        <v>-1.866872150116749E-3</v>
      </c>
      <c r="AG491">
        <f t="shared" si="89"/>
        <v>8.7545790998508138E-4</v>
      </c>
    </row>
    <row r="492" spans="1:33" x14ac:dyDescent="0.3">
      <c r="A492" s="17">
        <v>45982</v>
      </c>
      <c r="B492">
        <v>102.85</v>
      </c>
      <c r="C492">
        <v>102.25</v>
      </c>
      <c r="D492">
        <v>115.75</v>
      </c>
      <c r="E492">
        <v>114.85</v>
      </c>
      <c r="F492">
        <v>106.4</v>
      </c>
      <c r="G492">
        <v>105.5</v>
      </c>
      <c r="H492">
        <v>102.15</v>
      </c>
      <c r="I492">
        <v>101.25</v>
      </c>
      <c r="K492">
        <f t="shared" si="85"/>
        <v>-4.8887803466967001E-4</v>
      </c>
      <c r="L492">
        <f t="shared" si="86"/>
        <v>-3.0428191266836939E-3</v>
      </c>
      <c r="M492">
        <f t="shared" si="87"/>
        <v>9.4831680885926E-4</v>
      </c>
      <c r="N492">
        <f t="shared" si="88"/>
        <v>0</v>
      </c>
      <c r="AB492">
        <f t="shared" si="80"/>
        <v>1.0783348411396452E-4</v>
      </c>
      <c r="AC492">
        <f t="shared" si="81"/>
        <v>-1.718919400073558E-3</v>
      </c>
      <c r="AD492">
        <f t="shared" si="82"/>
        <v>-5.5608099853951467E-4</v>
      </c>
      <c r="AE492">
        <f t="shared" si="83"/>
        <v>-3.3246804082444321E-4</v>
      </c>
      <c r="AF492">
        <f t="shared" si="84"/>
        <v>2.6704406252084682E-4</v>
      </c>
      <c r="AG492">
        <f t="shared" si="89"/>
        <v>-1.313498391226241E-3</v>
      </c>
    </row>
    <row r="493" spans="1:33" x14ac:dyDescent="0.3">
      <c r="A493" s="17">
        <v>45985</v>
      </c>
      <c r="B493">
        <v>102.5</v>
      </c>
      <c r="C493">
        <v>101.9</v>
      </c>
      <c r="D493">
        <v>115.8</v>
      </c>
      <c r="E493">
        <v>114.9</v>
      </c>
      <c r="F493">
        <v>106.25</v>
      </c>
      <c r="G493">
        <v>105.35</v>
      </c>
      <c r="H493">
        <v>102.15</v>
      </c>
      <c r="I493">
        <v>101.25</v>
      </c>
      <c r="K493">
        <f t="shared" si="85"/>
        <v>-3.4288546942318906E-3</v>
      </c>
      <c r="L493">
        <f t="shared" si="86"/>
        <v>4.3525571960293757E-4</v>
      </c>
      <c r="M493">
        <f t="shared" si="87"/>
        <v>-1.4228126659232164E-3</v>
      </c>
      <c r="N493">
        <f t="shared" si="88"/>
        <v>0</v>
      </c>
      <c r="AB493">
        <f t="shared" si="80"/>
        <v>-2.7373501945541075E-4</v>
      </c>
      <c r="AC493">
        <f t="shared" si="81"/>
        <v>-1.8752571655168595E-4</v>
      </c>
      <c r="AD493">
        <f t="shared" si="82"/>
        <v>2.385539419935101E-4</v>
      </c>
      <c r="AE493">
        <f t="shared" si="83"/>
        <v>-4.5156217977641432E-4</v>
      </c>
      <c r="AF493">
        <f t="shared" si="84"/>
        <v>-2.6704406252078372E-4</v>
      </c>
      <c r="AG493">
        <f t="shared" si="89"/>
        <v>-4.3824842830862167E-4</v>
      </c>
    </row>
    <row r="494" spans="1:33" x14ac:dyDescent="0.3">
      <c r="A494" s="17">
        <v>45986</v>
      </c>
      <c r="B494">
        <v>102.65</v>
      </c>
      <c r="C494">
        <v>102.05</v>
      </c>
      <c r="D494">
        <v>115.75</v>
      </c>
      <c r="E494">
        <v>114.85</v>
      </c>
      <c r="F494">
        <v>106.2</v>
      </c>
      <c r="G494">
        <v>105.3</v>
      </c>
      <c r="H494">
        <v>102.15</v>
      </c>
      <c r="I494">
        <v>101.25</v>
      </c>
      <c r="K494">
        <f t="shared" si="85"/>
        <v>1.4709490271745819E-3</v>
      </c>
      <c r="L494">
        <f t="shared" si="86"/>
        <v>-4.3525571960283468E-4</v>
      </c>
      <c r="M494">
        <f t="shared" si="87"/>
        <v>-4.7472111026822575E-4</v>
      </c>
      <c r="N494">
        <f t="shared" si="88"/>
        <v>0</v>
      </c>
      <c r="AB494">
        <f t="shared" si="80"/>
        <v>-1.6367611314412965E-3</v>
      </c>
      <c r="AC494">
        <f t="shared" si="81"/>
        <v>-4.7717978862121401E-4</v>
      </c>
      <c r="AD494">
        <f t="shared" si="82"/>
        <v>-1.310666740096464E-3</v>
      </c>
      <c r="AE494">
        <f t="shared" si="83"/>
        <v>-1.2190138210184029E-3</v>
      </c>
      <c r="AF494">
        <f t="shared" si="84"/>
        <v>-1.6372553709890587E-3</v>
      </c>
      <c r="AG494">
        <f t="shared" si="89"/>
        <v>-5.5135843466835247E-4</v>
      </c>
    </row>
    <row r="495" spans="1:33" x14ac:dyDescent="0.3">
      <c r="A495" s="17">
        <v>45987</v>
      </c>
      <c r="B495">
        <v>102.6</v>
      </c>
      <c r="C495">
        <v>102</v>
      </c>
      <c r="D495">
        <v>115.55</v>
      </c>
      <c r="E495">
        <v>114.65</v>
      </c>
      <c r="F495">
        <v>106.15</v>
      </c>
      <c r="G495">
        <v>105.25</v>
      </c>
      <c r="H495">
        <v>102</v>
      </c>
      <c r="I495">
        <v>101.1</v>
      </c>
      <c r="K495">
        <f t="shared" si="85"/>
        <v>-4.9007597158268472E-4</v>
      </c>
      <c r="L495">
        <f t="shared" si="86"/>
        <v>-1.7429198311937127E-3</v>
      </c>
      <c r="M495">
        <f t="shared" si="87"/>
        <v>-4.749465774390295E-4</v>
      </c>
      <c r="N495">
        <f t="shared" si="88"/>
        <v>-1.4695079793599947E-3</v>
      </c>
      <c r="AB495">
        <f t="shared" si="80"/>
        <v>0</v>
      </c>
      <c r="AC495">
        <f t="shared" si="81"/>
        <v>0</v>
      </c>
      <c r="AD495">
        <f t="shared" si="82"/>
        <v>0</v>
      </c>
      <c r="AE495">
        <f t="shared" si="83"/>
        <v>0</v>
      </c>
      <c r="AF495">
        <f t="shared" si="84"/>
        <v>0</v>
      </c>
      <c r="AG495">
        <f t="shared" si="89"/>
        <v>0</v>
      </c>
    </row>
    <row r="496" spans="1:33" x14ac:dyDescent="0.3">
      <c r="A496" s="17">
        <v>45988</v>
      </c>
      <c r="B496">
        <v>102.6</v>
      </c>
      <c r="C496">
        <v>102</v>
      </c>
      <c r="D496">
        <v>115.55</v>
      </c>
      <c r="E496">
        <v>114.65</v>
      </c>
      <c r="F496">
        <v>106.15</v>
      </c>
      <c r="G496">
        <v>105.25</v>
      </c>
      <c r="H496">
        <v>102</v>
      </c>
      <c r="I496">
        <v>101.1</v>
      </c>
      <c r="K496">
        <f t="shared" si="85"/>
        <v>0</v>
      </c>
      <c r="L496">
        <f t="shared" si="86"/>
        <v>0</v>
      </c>
      <c r="M496">
        <f t="shared" si="87"/>
        <v>0</v>
      </c>
      <c r="N496">
        <f t="shared" si="88"/>
        <v>0</v>
      </c>
      <c r="AB496">
        <f t="shared" si="80"/>
        <v>-2.1397207414553766E-3</v>
      </c>
      <c r="AC496">
        <f t="shared" si="81"/>
        <v>-2.1593233128869276E-3</v>
      </c>
      <c r="AD496">
        <f t="shared" si="82"/>
        <v>-1.4475855005406566E-3</v>
      </c>
      <c r="AE496">
        <f t="shared" si="83"/>
        <v>-1.6138398539731866E-3</v>
      </c>
      <c r="AF496">
        <f t="shared" si="84"/>
        <v>-1.2606978237573254E-3</v>
      </c>
      <c r="AG496">
        <f t="shared" si="89"/>
        <v>-1.3542914187587667E-3</v>
      </c>
    </row>
    <row r="497" spans="1:33" x14ac:dyDescent="0.3">
      <c r="A497" s="17">
        <v>45989</v>
      </c>
      <c r="B497">
        <v>101.95</v>
      </c>
      <c r="C497">
        <v>101.35</v>
      </c>
      <c r="D497">
        <v>115.35</v>
      </c>
      <c r="E497">
        <v>114.45</v>
      </c>
      <c r="F497">
        <v>106</v>
      </c>
      <c r="G497">
        <v>105.1</v>
      </c>
      <c r="H497">
        <v>101.95</v>
      </c>
      <c r="I497">
        <v>101.05</v>
      </c>
      <c r="K497">
        <f t="shared" si="85"/>
        <v>-6.3929403862621279E-3</v>
      </c>
      <c r="L497">
        <f t="shared" si="86"/>
        <v>-1.7459629053377533E-3</v>
      </c>
      <c r="M497">
        <f t="shared" si="87"/>
        <v>-1.4261946795854508E-3</v>
      </c>
      <c r="N497">
        <f t="shared" si="88"/>
        <v>-4.9031626380689687E-4</v>
      </c>
      <c r="AB497">
        <f t="shared" si="80"/>
        <v>-1.9178924847770972E-3</v>
      </c>
      <c r="AC497">
        <f t="shared" si="81"/>
        <v>5.5098806626113566E-4</v>
      </c>
      <c r="AD497">
        <f t="shared" si="82"/>
        <v>5.7073607248239256E-4</v>
      </c>
      <c r="AE497">
        <f t="shared" si="83"/>
        <v>-1.0866995946179241E-3</v>
      </c>
      <c r="AF497">
        <f t="shared" si="84"/>
        <v>-1.1521536651584242E-3</v>
      </c>
      <c r="AG497">
        <f t="shared" si="89"/>
        <v>4.7675304764803445E-4</v>
      </c>
    </row>
    <row r="498" spans="1:33" x14ac:dyDescent="0.3">
      <c r="A498" s="17">
        <v>45992</v>
      </c>
      <c r="B498">
        <v>102.05</v>
      </c>
      <c r="C498">
        <v>101.45</v>
      </c>
      <c r="D498">
        <v>115.15</v>
      </c>
      <c r="E498">
        <v>114.2</v>
      </c>
      <c r="F498">
        <v>106.05</v>
      </c>
      <c r="G498">
        <v>105.15</v>
      </c>
      <c r="H498">
        <v>102</v>
      </c>
      <c r="I498">
        <v>101.1</v>
      </c>
      <c r="K498">
        <f t="shared" si="85"/>
        <v>9.861933738147153E-4</v>
      </c>
      <c r="L498">
        <f t="shared" si="86"/>
        <v>-2.1867491766658269E-3</v>
      </c>
      <c r="M498">
        <f t="shared" si="87"/>
        <v>4.7562426580340155E-4</v>
      </c>
      <c r="N498">
        <f t="shared" si="88"/>
        <v>4.903162638069552E-4</v>
      </c>
      <c r="AB498">
        <f t="shared" si="80"/>
        <v>9.6798973987015911E-4</v>
      </c>
      <c r="AC498">
        <f t="shared" si="81"/>
        <v>6.9593484074794072E-4</v>
      </c>
      <c r="AD498">
        <f t="shared" si="82"/>
        <v>1.9605850714259783E-3</v>
      </c>
      <c r="AE498">
        <f t="shared" si="83"/>
        <v>7.1005153074741884E-4</v>
      </c>
      <c r="AF498">
        <f t="shared" si="84"/>
        <v>1.2940449212375182E-3</v>
      </c>
      <c r="AG498">
        <f t="shared" si="89"/>
        <v>5.8937243263404286E-4</v>
      </c>
    </row>
    <row r="499" spans="1:33" x14ac:dyDescent="0.3">
      <c r="A499" s="17">
        <v>45993</v>
      </c>
      <c r="B499">
        <v>102.25</v>
      </c>
      <c r="C499">
        <v>101.65</v>
      </c>
      <c r="D499">
        <v>115.2</v>
      </c>
      <c r="E499">
        <v>114.3</v>
      </c>
      <c r="F499">
        <v>106.1</v>
      </c>
      <c r="G499">
        <v>105.2</v>
      </c>
      <c r="H499">
        <v>102.2</v>
      </c>
      <c r="I499">
        <v>101.3</v>
      </c>
      <c r="K499">
        <f t="shared" si="85"/>
        <v>1.9694738025319621E-3</v>
      </c>
      <c r="L499">
        <f t="shared" si="86"/>
        <v>8.7527357885517471E-4</v>
      </c>
      <c r="M499">
        <f t="shared" si="87"/>
        <v>4.7539815490059602E-4</v>
      </c>
      <c r="N499">
        <f t="shared" si="88"/>
        <v>1.9588644853329716E-3</v>
      </c>
      <c r="AB499">
        <f t="shared" si="80"/>
        <v>8.4207654643989743E-4</v>
      </c>
      <c r="AC499">
        <f t="shared" si="81"/>
        <v>7.2587876014538051E-5</v>
      </c>
      <c r="AD499">
        <f t="shared" si="82"/>
        <v>-3.3024159671408049E-4</v>
      </c>
      <c r="AE499">
        <f t="shared" si="83"/>
        <v>5.13175544484776E-4</v>
      </c>
      <c r="AF499">
        <f t="shared" si="84"/>
        <v>3.4742045226814002E-4</v>
      </c>
      <c r="AG499">
        <f t="shared" si="89"/>
        <v>-3.7597115066425287E-5</v>
      </c>
    </row>
    <row r="500" spans="1:33" x14ac:dyDescent="0.3">
      <c r="A500" s="17">
        <v>45994</v>
      </c>
      <c r="B500">
        <v>102.3</v>
      </c>
      <c r="C500">
        <v>101.7</v>
      </c>
      <c r="D500">
        <v>115.3</v>
      </c>
      <c r="E500">
        <v>114.4</v>
      </c>
      <c r="F500">
        <v>106.1</v>
      </c>
      <c r="G500">
        <v>105.2</v>
      </c>
      <c r="H500">
        <v>102.15</v>
      </c>
      <c r="I500">
        <v>101.25</v>
      </c>
      <c r="K500">
        <f t="shared" si="85"/>
        <v>4.9176298015866839E-4</v>
      </c>
      <c r="L500">
        <f t="shared" si="86"/>
        <v>8.7450814493257568E-4</v>
      </c>
      <c r="M500">
        <f t="shared" si="87"/>
        <v>0</v>
      </c>
      <c r="N500">
        <f t="shared" si="88"/>
        <v>-4.8935650597298132E-4</v>
      </c>
      <c r="AB500">
        <f t="shared" si="80"/>
        <v>1.7651899164096785E-3</v>
      </c>
      <c r="AC500">
        <f t="shared" si="81"/>
        <v>1.0998692939455448E-3</v>
      </c>
      <c r="AD500">
        <f t="shared" si="82"/>
        <v>-9.1256899057339002E-4</v>
      </c>
      <c r="AE500">
        <f t="shared" si="83"/>
        <v>1.4175804329205103E-3</v>
      </c>
      <c r="AF500">
        <f t="shared" si="84"/>
        <v>5.0375962307263992E-4</v>
      </c>
      <c r="AG500">
        <f t="shared" si="89"/>
        <v>7.6421962644654265E-4</v>
      </c>
    </row>
    <row r="501" spans="1:33" x14ac:dyDescent="0.3">
      <c r="A501" s="17">
        <v>45995</v>
      </c>
      <c r="B501">
        <v>102.5</v>
      </c>
      <c r="C501">
        <v>101.9</v>
      </c>
      <c r="D501">
        <v>115.5</v>
      </c>
      <c r="E501">
        <v>114.6</v>
      </c>
      <c r="F501">
        <v>106.2</v>
      </c>
      <c r="G501">
        <v>105.3</v>
      </c>
      <c r="H501">
        <v>102</v>
      </c>
      <c r="I501">
        <v>101.1</v>
      </c>
      <c r="K501">
        <f t="shared" si="85"/>
        <v>1.9646371741648158E-3</v>
      </c>
      <c r="L501">
        <f t="shared" si="86"/>
        <v>1.7467253349415786E-3</v>
      </c>
      <c r="M501">
        <f t="shared" si="87"/>
        <v>9.5011883632025666E-4</v>
      </c>
      <c r="N501">
        <f t="shared" si="88"/>
        <v>-1.4695079793599947E-3</v>
      </c>
      <c r="AB501">
        <f t="shared" si="80"/>
        <v>3.5765621791964466E-4</v>
      </c>
      <c r="AC501">
        <f t="shared" si="81"/>
        <v>7.3666010582298155E-4</v>
      </c>
      <c r="AD501">
        <f t="shared" si="82"/>
        <v>-4.9039431825708042E-4</v>
      </c>
      <c r="AE501">
        <f t="shared" si="83"/>
        <v>6.4817324893509036E-4</v>
      </c>
      <c r="AF501">
        <f t="shared" si="84"/>
        <v>7.813579177998783E-5</v>
      </c>
      <c r="AG501">
        <f t="shared" si="89"/>
        <v>8.3861805657389884E-4</v>
      </c>
    </row>
    <row r="502" spans="1:33" x14ac:dyDescent="0.3">
      <c r="A502" s="17">
        <v>45996</v>
      </c>
      <c r="B502">
        <v>102.45</v>
      </c>
      <c r="C502">
        <v>101.85</v>
      </c>
      <c r="D502">
        <v>115.55</v>
      </c>
      <c r="E502">
        <v>114.65</v>
      </c>
      <c r="F502">
        <v>106.3</v>
      </c>
      <c r="G502">
        <v>105.4</v>
      </c>
      <c r="H502">
        <v>101.95</v>
      </c>
      <c r="I502">
        <v>101.05</v>
      </c>
      <c r="K502">
        <f t="shared" si="85"/>
        <v>-4.9079755586438573E-4</v>
      </c>
      <c r="L502">
        <f t="shared" si="86"/>
        <v>4.3620502327441972E-4</v>
      </c>
      <c r="M502">
        <f t="shared" si="87"/>
        <v>9.4921696733215525E-4</v>
      </c>
      <c r="N502">
        <f t="shared" si="88"/>
        <v>-4.9031626380689687E-4</v>
      </c>
      <c r="AB502">
        <f t="shared" si="80"/>
        <v>-2.0824336386277925E-4</v>
      </c>
      <c r="AC502">
        <f t="shared" si="81"/>
        <v>-1.1718666409522194E-3</v>
      </c>
      <c r="AD502">
        <f t="shared" si="82"/>
        <v>2.0632067283949799E-3</v>
      </c>
      <c r="AE502">
        <f t="shared" si="83"/>
        <v>-3.9220107575074352E-4</v>
      </c>
      <c r="AF502">
        <f t="shared" si="84"/>
        <v>1.1355530482684982E-3</v>
      </c>
      <c r="AG502">
        <f t="shared" si="89"/>
        <v>-6.5054035407070192E-4</v>
      </c>
    </row>
    <row r="503" spans="1:33" x14ac:dyDescent="0.3">
      <c r="A503" s="17">
        <v>45999</v>
      </c>
      <c r="B503">
        <v>102.2</v>
      </c>
      <c r="C503">
        <v>101.6</v>
      </c>
      <c r="D503">
        <v>115.55</v>
      </c>
      <c r="E503">
        <v>114.65</v>
      </c>
      <c r="F503">
        <v>106.2</v>
      </c>
      <c r="G503">
        <v>105.3</v>
      </c>
      <c r="H503">
        <v>102.25</v>
      </c>
      <c r="I503">
        <v>101.35</v>
      </c>
      <c r="K503">
        <f t="shared" si="85"/>
        <v>-2.457607528433299E-3</v>
      </c>
      <c r="L503">
        <f t="shared" si="86"/>
        <v>0</v>
      </c>
      <c r="M503">
        <f t="shared" si="87"/>
        <v>-9.492169673322704E-4</v>
      </c>
      <c r="N503">
        <f t="shared" si="88"/>
        <v>2.9382979024468407E-3</v>
      </c>
      <c r="AB503">
        <f t="shared" si="80"/>
        <v>-8.3440855691452618E-5</v>
      </c>
      <c r="AC503">
        <f t="shared" si="81"/>
        <v>6.6375101733792317E-4</v>
      </c>
      <c r="AD503">
        <f t="shared" si="82"/>
        <v>-1.5970153168771081E-4</v>
      </c>
      <c r="AE503">
        <f t="shared" si="83"/>
        <v>3.9220107575069598E-4</v>
      </c>
      <c r="AF503">
        <f t="shared" si="84"/>
        <v>0</v>
      </c>
      <c r="AG503">
        <f t="shared" si="89"/>
        <v>8.7628890954975661E-4</v>
      </c>
    </row>
    <row r="504" spans="1:33" x14ac:dyDescent="0.3">
      <c r="A504" s="17">
        <v>46000</v>
      </c>
      <c r="B504">
        <v>102.1</v>
      </c>
      <c r="C504">
        <v>101.5</v>
      </c>
      <c r="D504">
        <v>115.55</v>
      </c>
      <c r="E504">
        <v>114.65</v>
      </c>
      <c r="F504">
        <v>106.3</v>
      </c>
      <c r="G504">
        <v>105.4</v>
      </c>
      <c r="H504">
        <v>102.25</v>
      </c>
      <c r="I504">
        <v>101.35</v>
      </c>
      <c r="K504">
        <f t="shared" si="85"/>
        <v>-9.8473666253949261E-4</v>
      </c>
      <c r="L504">
        <f t="shared" si="86"/>
        <v>0</v>
      </c>
      <c r="M504">
        <f t="shared" si="87"/>
        <v>9.4921696733215525E-4</v>
      </c>
      <c r="N504">
        <f t="shared" si="88"/>
        <v>0</v>
      </c>
      <c r="AB504">
        <f t="shared" si="80"/>
        <v>0</v>
      </c>
      <c r="AC504">
        <f t="shared" si="81"/>
        <v>-8.0910547802622425E-4</v>
      </c>
      <c r="AD504">
        <f t="shared" si="82"/>
        <v>2.0459670916516889E-3</v>
      </c>
      <c r="AE504">
        <f t="shared" si="83"/>
        <v>-3.9220107575074352E-4</v>
      </c>
      <c r="AF504">
        <f t="shared" si="84"/>
        <v>9.4375205884858092E-4</v>
      </c>
      <c r="AG504">
        <f t="shared" si="89"/>
        <v>-6.8867049371238798E-4</v>
      </c>
    </row>
    <row r="505" spans="1:33" x14ac:dyDescent="0.3">
      <c r="A505" s="17">
        <v>46001</v>
      </c>
      <c r="B505">
        <v>102.1</v>
      </c>
      <c r="C505">
        <v>101.5</v>
      </c>
      <c r="D505">
        <v>115.55</v>
      </c>
      <c r="E505">
        <v>114.65</v>
      </c>
      <c r="F505">
        <v>106.2</v>
      </c>
      <c r="G505">
        <v>105.3</v>
      </c>
      <c r="H505">
        <v>102.5</v>
      </c>
      <c r="I505">
        <v>101.6</v>
      </c>
      <c r="K505">
        <f t="shared" si="85"/>
        <v>0</v>
      </c>
      <c r="L505">
        <f t="shared" si="86"/>
        <v>0</v>
      </c>
      <c r="M505">
        <f t="shared" si="87"/>
        <v>-9.492169673322704E-4</v>
      </c>
      <c r="N505">
        <f t="shared" si="88"/>
        <v>2.4420036555518089E-3</v>
      </c>
      <c r="AB505">
        <f t="shared" si="80"/>
        <v>-1.1982534784473876E-3</v>
      </c>
      <c r="AC505">
        <f t="shared" si="81"/>
        <v>-4.0484092762872877E-4</v>
      </c>
      <c r="AD505">
        <f t="shared" si="82"/>
        <v>8.1698993082986247E-4</v>
      </c>
      <c r="AE505">
        <f t="shared" si="83"/>
        <v>-9.6449196506418985E-4</v>
      </c>
      <c r="AF505">
        <f t="shared" si="84"/>
        <v>-4.263734851260439E-4</v>
      </c>
      <c r="AG505">
        <f t="shared" si="89"/>
        <v>-3.6353730504105734E-4</v>
      </c>
    </row>
    <row r="506" spans="1:33" x14ac:dyDescent="0.3">
      <c r="A506" s="17">
        <v>46002</v>
      </c>
      <c r="B506">
        <v>102.1</v>
      </c>
      <c r="C506">
        <v>101.5</v>
      </c>
      <c r="D506">
        <v>115.4</v>
      </c>
      <c r="E506">
        <v>114.5</v>
      </c>
      <c r="F506">
        <v>106.15</v>
      </c>
      <c r="G506">
        <v>105.25</v>
      </c>
      <c r="H506">
        <v>102.6</v>
      </c>
      <c r="I506">
        <v>101.65</v>
      </c>
      <c r="K506">
        <f t="shared" si="85"/>
        <v>0</v>
      </c>
      <c r="L506">
        <f t="shared" si="86"/>
        <v>-1.3091863096191707E-3</v>
      </c>
      <c r="M506">
        <f t="shared" si="87"/>
        <v>-4.749465774390295E-4</v>
      </c>
      <c r="N506">
        <f t="shared" si="88"/>
        <v>9.7513415820629139E-4</v>
      </c>
      <c r="AB506">
        <f t="shared" si="80"/>
        <v>2.084482775885392E-4</v>
      </c>
      <c r="AC506">
        <f t="shared" si="81"/>
        <v>3.6311812383978999E-4</v>
      </c>
      <c r="AD506">
        <f t="shared" si="82"/>
        <v>8.0715575236202809E-4</v>
      </c>
      <c r="AE506">
        <f t="shared" si="83"/>
        <v>0</v>
      </c>
      <c r="AF506">
        <f t="shared" si="84"/>
        <v>1.882905158048454E-4</v>
      </c>
      <c r="AG506">
        <f t="shared" si="89"/>
        <v>3.7432255602839502E-5</v>
      </c>
    </row>
    <row r="507" spans="1:33" x14ac:dyDescent="0.3">
      <c r="A507" s="17">
        <v>46003</v>
      </c>
      <c r="B507">
        <v>102.35</v>
      </c>
      <c r="C507">
        <v>101.75</v>
      </c>
      <c r="D507">
        <v>115.4</v>
      </c>
      <c r="E507">
        <v>114.5</v>
      </c>
      <c r="F507">
        <v>106.15</v>
      </c>
      <c r="G507">
        <v>105.25</v>
      </c>
      <c r="H507">
        <v>102.65</v>
      </c>
      <c r="I507">
        <v>101.75</v>
      </c>
      <c r="K507">
        <f t="shared" si="85"/>
        <v>2.460025840862399E-3</v>
      </c>
      <c r="L507">
        <f t="shared" si="86"/>
        <v>0</v>
      </c>
      <c r="M507">
        <f t="shared" si="87"/>
        <v>0</v>
      </c>
      <c r="N507">
        <f t="shared" si="88"/>
        <v>4.8721072827343214E-4</v>
      </c>
      <c r="AB507">
        <f t="shared" si="80"/>
        <v>2.3949402707058409E-3</v>
      </c>
      <c r="AC507">
        <f t="shared" si="81"/>
        <v>2.0222845952984334E-3</v>
      </c>
      <c r="AD507">
        <f t="shared" si="82"/>
        <v>-1.2251863372852443E-3</v>
      </c>
      <c r="AE507">
        <f t="shared" si="83"/>
        <v>2.5157694482276787E-3</v>
      </c>
      <c r="AF507">
        <f t="shared" si="84"/>
        <v>1.0402627183180395E-3</v>
      </c>
      <c r="AG507">
        <f t="shared" si="89"/>
        <v>2.0778518689730081E-3</v>
      </c>
    </row>
    <row r="508" spans="1:33" x14ac:dyDescent="0.3">
      <c r="A508" s="17">
        <v>46006</v>
      </c>
      <c r="B508">
        <v>102.35</v>
      </c>
      <c r="C508">
        <v>101.75</v>
      </c>
      <c r="D508">
        <v>115.7</v>
      </c>
      <c r="E508">
        <v>114.8</v>
      </c>
      <c r="F508">
        <v>106.4</v>
      </c>
      <c r="G508">
        <v>105.5</v>
      </c>
      <c r="H508">
        <v>102.5</v>
      </c>
      <c r="I508">
        <v>101.6</v>
      </c>
      <c r="K508">
        <f t="shared" si="85"/>
        <v>0</v>
      </c>
      <c r="L508">
        <f t="shared" si="86"/>
        <v>2.6166608911716888E-3</v>
      </c>
      <c r="M508">
        <f t="shared" si="87"/>
        <v>2.3724803536303955E-3</v>
      </c>
      <c r="N508">
        <f t="shared" si="88"/>
        <v>-1.4623448864797524E-3</v>
      </c>
      <c r="AB508">
        <f t="shared" si="80"/>
        <v>0</v>
      </c>
      <c r="AC508">
        <f t="shared" si="81"/>
        <v>1.614380325556937E-3</v>
      </c>
      <c r="AD508">
        <f t="shared" si="82"/>
        <v>-8.1778738330463222E-4</v>
      </c>
      <c r="AE508">
        <f t="shared" si="83"/>
        <v>7.8254531399148998E-4</v>
      </c>
      <c r="AF508">
        <f t="shared" si="84"/>
        <v>-3.7722431110613961E-4</v>
      </c>
      <c r="AG508">
        <f t="shared" si="89"/>
        <v>1.6734367197249289E-3</v>
      </c>
    </row>
    <row r="509" spans="1:33" x14ac:dyDescent="0.3">
      <c r="A509" s="17">
        <v>46007</v>
      </c>
      <c r="B509">
        <v>102.35</v>
      </c>
      <c r="C509">
        <v>101.75</v>
      </c>
      <c r="D509">
        <v>115.7</v>
      </c>
      <c r="E509">
        <v>114.8</v>
      </c>
      <c r="F509">
        <v>106.6</v>
      </c>
      <c r="G509">
        <v>105.7</v>
      </c>
      <c r="H509">
        <v>102.4</v>
      </c>
      <c r="I509">
        <v>101.5</v>
      </c>
      <c r="K509">
        <f t="shared" si="85"/>
        <v>0</v>
      </c>
      <c r="L509">
        <f t="shared" si="86"/>
        <v>0</v>
      </c>
      <c r="M509">
        <f t="shared" si="87"/>
        <v>1.8939399600707832E-3</v>
      </c>
      <c r="N509">
        <f t="shared" si="88"/>
        <v>-9.7608597305534866E-4</v>
      </c>
      <c r="AB509">
        <f t="shared" si="80"/>
        <v>-2.4365889233542654E-3</v>
      </c>
      <c r="AC509">
        <f t="shared" si="81"/>
        <v>7.3349283378758301E-4</v>
      </c>
      <c r="AD509">
        <f t="shared" si="82"/>
        <v>2.3712579544350309E-3</v>
      </c>
      <c r="AE509">
        <f t="shared" si="83"/>
        <v>-1.1447814222386107E-3</v>
      </c>
      <c r="AF509">
        <f t="shared" si="84"/>
        <v>-4.7483958389457821E-4</v>
      </c>
      <c r="AG509">
        <f t="shared" si="89"/>
        <v>1.0977322871427581E-3</v>
      </c>
    </row>
    <row r="510" spans="1:33" x14ac:dyDescent="0.3">
      <c r="A510" s="17">
        <v>46008</v>
      </c>
      <c r="B510">
        <v>102.3</v>
      </c>
      <c r="C510">
        <v>101.7</v>
      </c>
      <c r="D510">
        <v>115.4</v>
      </c>
      <c r="E510">
        <v>114.5</v>
      </c>
      <c r="F510">
        <v>106.7</v>
      </c>
      <c r="G510">
        <v>105.8</v>
      </c>
      <c r="H510">
        <v>102.7</v>
      </c>
      <c r="I510">
        <v>101.75</v>
      </c>
      <c r="K510">
        <f t="shared" si="85"/>
        <v>-4.9152126819011744E-4</v>
      </c>
      <c r="L510">
        <f t="shared" si="86"/>
        <v>-2.6166608911716276E-3</v>
      </c>
      <c r="M510">
        <f t="shared" si="87"/>
        <v>9.4562654800703025E-4</v>
      </c>
      <c r="N510">
        <f t="shared" si="88"/>
        <v>2.9254043291051359E-3</v>
      </c>
      <c r="AB510">
        <f t="shared" si="80"/>
        <v>-4.4143582203113002E-4</v>
      </c>
      <c r="AC510">
        <f t="shared" si="81"/>
        <v>-1.2819414348925265E-3</v>
      </c>
      <c r="AD510">
        <f t="shared" si="82"/>
        <v>-8.9594662396841503E-4</v>
      </c>
      <c r="AE510">
        <f t="shared" si="83"/>
        <v>-8.4252257985974958E-4</v>
      </c>
      <c r="AF510">
        <f t="shared" si="84"/>
        <v>-6.4446651042987567E-4</v>
      </c>
      <c r="AG510">
        <f t="shared" si="89"/>
        <v>-1.3846175549777505E-3</v>
      </c>
    </row>
    <row r="511" spans="1:33" x14ac:dyDescent="0.3">
      <c r="A511" s="17">
        <v>46009</v>
      </c>
      <c r="B511">
        <v>102.25</v>
      </c>
      <c r="C511">
        <v>101.65</v>
      </c>
      <c r="D511">
        <v>115.35</v>
      </c>
      <c r="E511">
        <v>114.45</v>
      </c>
      <c r="F511">
        <v>106.55</v>
      </c>
      <c r="G511">
        <v>105.65</v>
      </c>
      <c r="H511">
        <v>102.6</v>
      </c>
      <c r="I511">
        <v>101.7</v>
      </c>
      <c r="K511">
        <f t="shared" si="85"/>
        <v>-4.9176298015861592E-4</v>
      </c>
      <c r="L511">
        <f t="shared" si="86"/>
        <v>-4.3677659571855884E-4</v>
      </c>
      <c r="M511">
        <f t="shared" si="87"/>
        <v>-1.4187753621332591E-3</v>
      </c>
      <c r="N511">
        <f t="shared" si="88"/>
        <v>-9.7418419784348585E-4</v>
      </c>
      <c r="AB511">
        <f t="shared" si="80"/>
        <v>1.6655372852861022E-4</v>
      </c>
      <c r="AC511">
        <f t="shared" si="81"/>
        <v>2.901375733178803E-4</v>
      </c>
      <c r="AD511">
        <f t="shared" si="82"/>
        <v>-8.9620060109151217E-5</v>
      </c>
      <c r="AE511">
        <f t="shared" si="83"/>
        <v>0</v>
      </c>
      <c r="AF511">
        <f t="shared" si="84"/>
        <v>-1.8838229768310984E-4</v>
      </c>
      <c r="AG511">
        <f t="shared" si="89"/>
        <v>-3.7450501889500407E-5</v>
      </c>
    </row>
    <row r="512" spans="1:33" x14ac:dyDescent="0.3">
      <c r="A512" s="17">
        <v>46010</v>
      </c>
      <c r="B512">
        <v>102.45</v>
      </c>
      <c r="C512">
        <v>101.85</v>
      </c>
      <c r="D512">
        <v>115.35</v>
      </c>
      <c r="E512">
        <v>114.45</v>
      </c>
      <c r="F512">
        <v>106.55</v>
      </c>
      <c r="G512">
        <v>105.65</v>
      </c>
      <c r="H512">
        <v>102.55</v>
      </c>
      <c r="I512">
        <v>101.65</v>
      </c>
      <c r="K512">
        <f t="shared" si="85"/>
        <v>1.9656025984591272E-3</v>
      </c>
      <c r="L512">
        <f t="shared" si="86"/>
        <v>0</v>
      </c>
      <c r="M512">
        <f t="shared" si="87"/>
        <v>0</v>
      </c>
      <c r="N512">
        <f t="shared" si="88"/>
        <v>-4.8744821827955586E-4</v>
      </c>
      <c r="AB512">
        <f t="shared" si="80"/>
        <v>1.5980201665641903E-3</v>
      </c>
      <c r="AC512">
        <f t="shared" si="81"/>
        <v>4.0330852756146159E-4</v>
      </c>
      <c r="AD512">
        <f t="shared" si="82"/>
        <v>4.0839538107029813E-4</v>
      </c>
      <c r="AE512">
        <f t="shared" si="83"/>
        <v>1.2200567395358592E-3</v>
      </c>
      <c r="AF512">
        <f t="shared" si="84"/>
        <v>1.2595894208828912E-3</v>
      </c>
      <c r="AG512">
        <f t="shared" si="89"/>
        <v>4.7424743310189415E-4</v>
      </c>
    </row>
    <row r="513" spans="1:33" x14ac:dyDescent="0.3">
      <c r="A513" s="17">
        <v>46013</v>
      </c>
      <c r="B513">
        <v>102.45</v>
      </c>
      <c r="C513">
        <v>101.85</v>
      </c>
      <c r="D513">
        <v>115.55</v>
      </c>
      <c r="E513">
        <v>114.65</v>
      </c>
      <c r="F513">
        <v>106.6</v>
      </c>
      <c r="G513">
        <v>105.7</v>
      </c>
      <c r="H513">
        <v>102.6</v>
      </c>
      <c r="I513">
        <v>101.7</v>
      </c>
      <c r="K513">
        <f t="shared" si="85"/>
        <v>0</v>
      </c>
      <c r="L513">
        <f t="shared" si="86"/>
        <v>1.7459629053378492E-3</v>
      </c>
      <c r="M513">
        <f t="shared" si="87"/>
        <v>4.7314881412621707E-4</v>
      </c>
      <c r="N513">
        <f t="shared" si="88"/>
        <v>4.8744821827951753E-4</v>
      </c>
      <c r="AB513">
        <f t="shared" si="80"/>
        <v>1.1966867922584808E-3</v>
      </c>
      <c r="AC513">
        <f t="shared" si="81"/>
        <v>0</v>
      </c>
      <c r="AD513">
        <f t="shared" si="82"/>
        <v>0</v>
      </c>
      <c r="AE513">
        <f t="shared" si="83"/>
        <v>7.6724726256262017E-4</v>
      </c>
      <c r="AF513">
        <f t="shared" si="84"/>
        <v>8.0217974899687069E-4</v>
      </c>
      <c r="AG513">
        <f t="shared" si="89"/>
        <v>0</v>
      </c>
    </row>
    <row r="514" spans="1:33" x14ac:dyDescent="0.3">
      <c r="A514" s="17">
        <v>46014</v>
      </c>
      <c r="B514">
        <v>102.45</v>
      </c>
      <c r="C514">
        <v>101.85</v>
      </c>
      <c r="D514">
        <v>115.7</v>
      </c>
      <c r="E514">
        <v>114.8</v>
      </c>
      <c r="F514">
        <v>106.6</v>
      </c>
      <c r="G514">
        <v>105.7</v>
      </c>
      <c r="H514">
        <v>102.6</v>
      </c>
      <c r="I514">
        <v>101.7</v>
      </c>
      <c r="K514">
        <f t="shared" si="85"/>
        <v>0</v>
      </c>
      <c r="L514">
        <f t="shared" si="86"/>
        <v>1.3074745815525484E-3</v>
      </c>
      <c r="M514">
        <f t="shared" si="87"/>
        <v>0</v>
      </c>
      <c r="N514">
        <f t="shared" si="88"/>
        <v>0</v>
      </c>
      <c r="AB514">
        <f t="shared" si="80"/>
        <v>0</v>
      </c>
      <c r="AC514">
        <f t="shared" si="81"/>
        <v>0</v>
      </c>
      <c r="AD514">
        <f t="shared" si="82"/>
        <v>0</v>
      </c>
      <c r="AE514">
        <f t="shared" si="83"/>
        <v>0</v>
      </c>
      <c r="AF514">
        <f t="shared" si="84"/>
        <v>0</v>
      </c>
      <c r="AG514">
        <f t="shared" si="89"/>
        <v>0</v>
      </c>
    </row>
    <row r="515" spans="1:33" x14ac:dyDescent="0.3">
      <c r="A515" s="17">
        <v>46015</v>
      </c>
      <c r="B515">
        <v>102.45</v>
      </c>
      <c r="C515">
        <v>101.85</v>
      </c>
      <c r="D515">
        <v>115.7</v>
      </c>
      <c r="E515">
        <v>114.8</v>
      </c>
      <c r="F515">
        <v>106.6</v>
      </c>
      <c r="G515">
        <v>105.7</v>
      </c>
      <c r="H515">
        <v>102.6</v>
      </c>
      <c r="I515">
        <v>101.7</v>
      </c>
      <c r="K515">
        <f t="shared" si="85"/>
        <v>0</v>
      </c>
      <c r="L515">
        <f t="shared" si="86"/>
        <v>0</v>
      </c>
      <c r="M515">
        <f t="shared" si="87"/>
        <v>0</v>
      </c>
      <c r="N515">
        <f t="shared" si="88"/>
        <v>0</v>
      </c>
      <c r="AB515">
        <f t="shared" ref="AB515:AB578" si="90">K516*$S$108+L516*$T$108</f>
        <v>0</v>
      </c>
      <c r="AC515">
        <f t="shared" ref="AC515:AC578" si="91">K516*$S$109+M516*$T$109</f>
        <v>0</v>
      </c>
      <c r="AD515">
        <f t="shared" ref="AD515:AD578" si="92">K516*$S$110+N516*$T$110</f>
        <v>0</v>
      </c>
      <c r="AE515">
        <f t="shared" ref="AE515:AE578" si="93">L516*$S$111+M516*$T$111</f>
        <v>0</v>
      </c>
      <c r="AF515">
        <f t="shared" ref="AF515:AF578" si="94">L516*$S$112+N516*$T$112</f>
        <v>0</v>
      </c>
      <c r="AG515">
        <f t="shared" si="89"/>
        <v>0</v>
      </c>
    </row>
    <row r="516" spans="1:33" x14ac:dyDescent="0.3">
      <c r="A516" s="17">
        <v>46016</v>
      </c>
      <c r="B516">
        <v>102.45</v>
      </c>
      <c r="C516">
        <v>101.85</v>
      </c>
      <c r="D516">
        <v>115.7</v>
      </c>
      <c r="E516">
        <v>114.8</v>
      </c>
      <c r="F516">
        <v>106.6</v>
      </c>
      <c r="G516">
        <v>105.7</v>
      </c>
      <c r="H516">
        <v>102.6</v>
      </c>
      <c r="I516">
        <v>101.7</v>
      </c>
      <c r="K516">
        <f t="shared" ref="K516:K579" si="95">LN(C516/C515)</f>
        <v>0</v>
      </c>
      <c r="L516">
        <f t="shared" ref="L516:L579" si="96">LN(E516/E515)</f>
        <v>0</v>
      </c>
      <c r="M516">
        <f t="shared" ref="M516:M579" si="97">LN(G516/G515)</f>
        <v>0</v>
      </c>
      <c r="N516">
        <f t="shared" ref="N516:N579" si="98">LN(H516/H515)</f>
        <v>0</v>
      </c>
      <c r="AB516">
        <f t="shared" si="90"/>
        <v>0</v>
      </c>
      <c r="AC516">
        <f t="shared" si="91"/>
        <v>0</v>
      </c>
      <c r="AD516">
        <f t="shared" si="92"/>
        <v>0</v>
      </c>
      <c r="AE516">
        <f t="shared" si="93"/>
        <v>0</v>
      </c>
      <c r="AF516">
        <f t="shared" si="94"/>
        <v>0</v>
      </c>
      <c r="AG516">
        <f t="shared" ref="AG516:AG579" si="99">M517*$S$113+N517*$T$113</f>
        <v>0</v>
      </c>
    </row>
    <row r="517" spans="1:33" x14ac:dyDescent="0.3">
      <c r="A517" s="17">
        <v>46017</v>
      </c>
      <c r="B517">
        <v>102.45</v>
      </c>
      <c r="C517">
        <v>101.85</v>
      </c>
      <c r="D517">
        <v>115.7</v>
      </c>
      <c r="E517">
        <v>114.8</v>
      </c>
      <c r="F517">
        <v>106.6</v>
      </c>
      <c r="G517">
        <v>105.7</v>
      </c>
      <c r="H517">
        <v>102.6</v>
      </c>
      <c r="I517">
        <v>101.7</v>
      </c>
      <c r="K517">
        <f t="shared" si="95"/>
        <v>0</v>
      </c>
      <c r="L517">
        <f t="shared" si="96"/>
        <v>0</v>
      </c>
      <c r="M517">
        <f t="shared" si="97"/>
        <v>0</v>
      </c>
      <c r="N517">
        <f t="shared" si="98"/>
        <v>0</v>
      </c>
      <c r="AB517">
        <f t="shared" si="90"/>
        <v>7.1368689278939661E-4</v>
      </c>
      <c r="AC517">
        <f t="shared" si="91"/>
        <v>6.6104753154210786E-4</v>
      </c>
      <c r="AD517">
        <f t="shared" si="92"/>
        <v>2.488870691620559E-4</v>
      </c>
      <c r="AE517">
        <f t="shared" si="93"/>
        <v>9.0165900476538142E-4</v>
      </c>
      <c r="AF517">
        <f t="shared" si="94"/>
        <v>7.2249492391670037E-4</v>
      </c>
      <c r="AG517">
        <f t="shared" si="99"/>
        <v>9.1040659667824294E-4</v>
      </c>
    </row>
    <row r="518" spans="1:33" x14ac:dyDescent="0.3">
      <c r="A518" s="17">
        <v>46020</v>
      </c>
      <c r="B518">
        <v>102.35</v>
      </c>
      <c r="C518">
        <v>101.75</v>
      </c>
      <c r="D518">
        <v>115.8</v>
      </c>
      <c r="E518">
        <v>114.9</v>
      </c>
      <c r="F518">
        <v>106.7</v>
      </c>
      <c r="G518">
        <v>105.8</v>
      </c>
      <c r="H518">
        <v>102.65</v>
      </c>
      <c r="I518">
        <v>101.75</v>
      </c>
      <c r="K518">
        <f t="shared" si="95"/>
        <v>-9.8231835011045217E-4</v>
      </c>
      <c r="L518">
        <f t="shared" si="96"/>
        <v>8.7070096924411278E-4</v>
      </c>
      <c r="M518">
        <f t="shared" si="97"/>
        <v>9.4562654800703025E-4</v>
      </c>
      <c r="N518">
        <f t="shared" si="98"/>
        <v>4.8721072827343214E-4</v>
      </c>
      <c r="AB518">
        <f t="shared" si="90"/>
        <v>0</v>
      </c>
      <c r="AC518">
        <f t="shared" si="91"/>
        <v>0</v>
      </c>
      <c r="AD518">
        <f t="shared" si="92"/>
        <v>1.630799751244695E-3</v>
      </c>
      <c r="AE518">
        <f t="shared" si="93"/>
        <v>0</v>
      </c>
      <c r="AF518">
        <f t="shared" si="94"/>
        <v>7.5224603029389785E-4</v>
      </c>
      <c r="AG518">
        <f t="shared" si="99"/>
        <v>1.4954691457411113E-4</v>
      </c>
    </row>
    <row r="519" spans="1:33" x14ac:dyDescent="0.3">
      <c r="A519" s="17">
        <v>46021</v>
      </c>
      <c r="B519">
        <v>102.35</v>
      </c>
      <c r="C519">
        <v>101.75</v>
      </c>
      <c r="D519">
        <v>115.8</v>
      </c>
      <c r="E519">
        <v>114.9</v>
      </c>
      <c r="F519">
        <v>106.7</v>
      </c>
      <c r="G519">
        <v>105.8</v>
      </c>
      <c r="H519">
        <v>102.85</v>
      </c>
      <c r="I519">
        <v>102</v>
      </c>
      <c r="K519">
        <f t="shared" si="95"/>
        <v>0</v>
      </c>
      <c r="L519">
        <f t="shared" si="96"/>
        <v>0</v>
      </c>
      <c r="M519">
        <f t="shared" si="97"/>
        <v>0</v>
      </c>
      <c r="N519">
        <f t="shared" si="98"/>
        <v>1.9464726340234332E-3</v>
      </c>
      <c r="AB519">
        <f t="shared" si="90"/>
        <v>0</v>
      </c>
      <c r="AC519">
        <f t="shared" si="91"/>
        <v>0</v>
      </c>
      <c r="AD519">
        <f t="shared" si="92"/>
        <v>0</v>
      </c>
      <c r="AE519">
        <f t="shared" si="93"/>
        <v>0</v>
      </c>
      <c r="AF519">
        <f t="shared" si="94"/>
        <v>0</v>
      </c>
      <c r="AG519">
        <f t="shared" si="99"/>
        <v>0</v>
      </c>
    </row>
    <row r="520" spans="1:33" x14ac:dyDescent="0.3">
      <c r="A520" s="17">
        <v>46022</v>
      </c>
      <c r="B520">
        <v>102.35</v>
      </c>
      <c r="C520">
        <v>101.75</v>
      </c>
      <c r="D520">
        <v>115.8</v>
      </c>
      <c r="E520">
        <v>114.9</v>
      </c>
      <c r="F520">
        <v>106.7</v>
      </c>
      <c r="G520">
        <v>105.8</v>
      </c>
      <c r="H520">
        <v>102.85</v>
      </c>
      <c r="I520">
        <v>102</v>
      </c>
      <c r="K520">
        <f t="shared" si="95"/>
        <v>0</v>
      </c>
      <c r="L520">
        <f t="shared" si="96"/>
        <v>0</v>
      </c>
      <c r="M520">
        <f t="shared" si="97"/>
        <v>0</v>
      </c>
      <c r="N520">
        <f t="shared" si="98"/>
        <v>0</v>
      </c>
      <c r="AB520">
        <f t="shared" si="90"/>
        <v>0</v>
      </c>
      <c r="AC520">
        <f t="shared" si="91"/>
        <v>0</v>
      </c>
      <c r="AD520">
        <f t="shared" si="92"/>
        <v>0</v>
      </c>
      <c r="AE520">
        <f t="shared" si="93"/>
        <v>0</v>
      </c>
      <c r="AF520">
        <f t="shared" si="94"/>
        <v>0</v>
      </c>
      <c r="AG520">
        <f t="shared" si="99"/>
        <v>0</v>
      </c>
    </row>
    <row r="521" spans="1:33" x14ac:dyDescent="0.3">
      <c r="A521" s="17">
        <v>46023</v>
      </c>
      <c r="B521">
        <v>102.35</v>
      </c>
      <c r="C521">
        <v>101.75</v>
      </c>
      <c r="D521">
        <v>115.8</v>
      </c>
      <c r="E521">
        <v>114.9</v>
      </c>
      <c r="F521">
        <v>106.7</v>
      </c>
      <c r="G521">
        <v>105.8</v>
      </c>
      <c r="H521">
        <v>102.85</v>
      </c>
      <c r="I521">
        <v>102</v>
      </c>
      <c r="K521">
        <f t="shared" si="95"/>
        <v>0</v>
      </c>
      <c r="L521">
        <f t="shared" si="96"/>
        <v>0</v>
      </c>
      <c r="M521">
        <f t="shared" si="97"/>
        <v>0</v>
      </c>
      <c r="N521">
        <f t="shared" si="98"/>
        <v>0</v>
      </c>
      <c r="AB521">
        <f t="shared" si="90"/>
        <v>2.4946293418147701E-4</v>
      </c>
      <c r="AC521">
        <f t="shared" si="91"/>
        <v>5.2548948052873207E-3</v>
      </c>
      <c r="AD521">
        <f t="shared" si="92"/>
        <v>3.7295666655727264E-3</v>
      </c>
      <c r="AE521">
        <f t="shared" si="93"/>
        <v>2.3365781530787239E-3</v>
      </c>
      <c r="AF521">
        <f t="shared" si="94"/>
        <v>1.500113580915176E-3</v>
      </c>
      <c r="AG521">
        <f t="shared" si="99"/>
        <v>5.5188044808969564E-3</v>
      </c>
    </row>
    <row r="522" spans="1:33" x14ac:dyDescent="0.3">
      <c r="A522" s="17">
        <v>46024</v>
      </c>
      <c r="B522">
        <v>102.65</v>
      </c>
      <c r="C522">
        <v>102.05</v>
      </c>
      <c r="D522">
        <v>115.8</v>
      </c>
      <c r="E522">
        <v>114.9</v>
      </c>
      <c r="F522">
        <v>107.3</v>
      </c>
      <c r="G522">
        <v>106.4</v>
      </c>
      <c r="H522">
        <v>103.25</v>
      </c>
      <c r="I522">
        <v>102.35</v>
      </c>
      <c r="K522">
        <f t="shared" si="95"/>
        <v>2.9440649331492997E-3</v>
      </c>
      <c r="L522">
        <f t="shared" si="96"/>
        <v>0</v>
      </c>
      <c r="M522">
        <f t="shared" si="97"/>
        <v>5.6550574833450565E-3</v>
      </c>
      <c r="N522">
        <f t="shared" si="98"/>
        <v>3.881615742176118E-3</v>
      </c>
      <c r="AB522">
        <f t="shared" si="90"/>
        <v>2.7007055252924067E-3</v>
      </c>
      <c r="AC522">
        <f t="shared" si="91"/>
        <v>-1.447131909057306E-4</v>
      </c>
      <c r="AD522">
        <f t="shared" si="92"/>
        <v>-2.5968932768333638E-3</v>
      </c>
      <c r="AE522">
        <f t="shared" si="93"/>
        <v>1.7847997178557947E-3</v>
      </c>
      <c r="AF522">
        <f t="shared" si="94"/>
        <v>7.4152205526792055E-4</v>
      </c>
      <c r="AG522">
        <f t="shared" si="99"/>
        <v>-2.2355894465855242E-4</v>
      </c>
    </row>
    <row r="523" spans="1:33" x14ac:dyDescent="0.3">
      <c r="A523" s="17">
        <v>46027</v>
      </c>
      <c r="B523">
        <v>102.55</v>
      </c>
      <c r="C523">
        <v>101.95</v>
      </c>
      <c r="D523">
        <v>116.15</v>
      </c>
      <c r="E523">
        <v>115.25</v>
      </c>
      <c r="F523">
        <v>107.3</v>
      </c>
      <c r="G523">
        <v>106.4</v>
      </c>
      <c r="H523">
        <v>102.95</v>
      </c>
      <c r="I523">
        <v>102.05</v>
      </c>
      <c r="K523">
        <f t="shared" si="95"/>
        <v>-9.8039223538954907E-4</v>
      </c>
      <c r="L523">
        <f t="shared" si="96"/>
        <v>3.0414970220478989E-3</v>
      </c>
      <c r="M523">
        <f t="shared" si="97"/>
        <v>0</v>
      </c>
      <c r="N523">
        <f t="shared" si="98"/>
        <v>-2.9097983673436675E-3</v>
      </c>
      <c r="AB523">
        <f t="shared" si="90"/>
        <v>7.9381255443666549E-4</v>
      </c>
      <c r="AC523">
        <f t="shared" si="91"/>
        <v>0</v>
      </c>
      <c r="AD523">
        <f t="shared" si="92"/>
        <v>-4.0700661848578685E-4</v>
      </c>
      <c r="AE523">
        <f t="shared" si="93"/>
        <v>5.0894729792239513E-4</v>
      </c>
      <c r="AF523">
        <f t="shared" si="94"/>
        <v>3.4437778453240268E-4</v>
      </c>
      <c r="AG523">
        <f t="shared" si="99"/>
        <v>-3.7323150165638586E-5</v>
      </c>
    </row>
    <row r="524" spans="1:33" x14ac:dyDescent="0.3">
      <c r="A524" s="17">
        <v>46028</v>
      </c>
      <c r="B524">
        <v>102.55</v>
      </c>
      <c r="C524">
        <v>101.95</v>
      </c>
      <c r="D524">
        <v>116.15</v>
      </c>
      <c r="E524">
        <v>115.35</v>
      </c>
      <c r="F524">
        <v>107.3</v>
      </c>
      <c r="G524">
        <v>106.4</v>
      </c>
      <c r="H524">
        <v>102.9</v>
      </c>
      <c r="I524">
        <v>102</v>
      </c>
      <c r="K524">
        <f t="shared" si="95"/>
        <v>0</v>
      </c>
      <c r="L524">
        <f t="shared" si="96"/>
        <v>8.6730274300466878E-4</v>
      </c>
      <c r="M524">
        <f t="shared" si="97"/>
        <v>0</v>
      </c>
      <c r="N524">
        <f t="shared" si="98"/>
        <v>-4.8579063379445512E-4</v>
      </c>
      <c r="AB524">
        <f t="shared" si="90"/>
        <v>-7.9381255443671341E-4</v>
      </c>
      <c r="AC524">
        <f t="shared" si="91"/>
        <v>-2.00515866896058E-3</v>
      </c>
      <c r="AD524">
        <f t="shared" si="92"/>
        <v>-3.263190523120164E-3</v>
      </c>
      <c r="AE524">
        <f t="shared" si="93"/>
        <v>-1.480916229508104E-3</v>
      </c>
      <c r="AF524">
        <f t="shared" si="94"/>
        <v>-2.0373454392440937E-3</v>
      </c>
      <c r="AG524">
        <f t="shared" si="99"/>
        <v>-2.4708951566472814E-3</v>
      </c>
    </row>
    <row r="525" spans="1:33" x14ac:dyDescent="0.3">
      <c r="A525" s="17">
        <v>46029</v>
      </c>
      <c r="B525">
        <v>102.55</v>
      </c>
      <c r="C525">
        <v>101.95</v>
      </c>
      <c r="D525">
        <v>116.05</v>
      </c>
      <c r="E525">
        <v>115.25</v>
      </c>
      <c r="F525">
        <v>107.05</v>
      </c>
      <c r="G525">
        <v>106.15</v>
      </c>
      <c r="H525">
        <v>102.5</v>
      </c>
      <c r="I525">
        <v>101.6</v>
      </c>
      <c r="K525">
        <f t="shared" si="95"/>
        <v>0</v>
      </c>
      <c r="L525">
        <f t="shared" si="96"/>
        <v>-8.6730274300472114E-4</v>
      </c>
      <c r="M525">
        <f t="shared" si="97"/>
        <v>-2.3523887582789101E-3</v>
      </c>
      <c r="N525">
        <f t="shared" si="98"/>
        <v>-3.8948442615410737E-3</v>
      </c>
      <c r="AB525">
        <f t="shared" si="90"/>
        <v>8.35359102024303E-4</v>
      </c>
      <c r="AC525">
        <f t="shared" si="91"/>
        <v>7.2374329913258776E-5</v>
      </c>
      <c r="AD525">
        <f t="shared" si="92"/>
        <v>1.3047043052051106E-3</v>
      </c>
      <c r="AE525">
        <f t="shared" si="93"/>
        <v>5.0894729792239513E-4</v>
      </c>
      <c r="AF525">
        <f t="shared" si="94"/>
        <v>1.0972664642831067E-3</v>
      </c>
      <c r="AG525">
        <f t="shared" si="99"/>
        <v>1.1235152346541374E-4</v>
      </c>
    </row>
    <row r="526" spans="1:33" x14ac:dyDescent="0.3">
      <c r="A526" s="17">
        <v>46030</v>
      </c>
      <c r="B526">
        <v>102.6</v>
      </c>
      <c r="C526">
        <v>102</v>
      </c>
      <c r="D526">
        <v>116.15</v>
      </c>
      <c r="E526">
        <v>115.35</v>
      </c>
      <c r="F526">
        <v>107.05</v>
      </c>
      <c r="G526">
        <v>106.15</v>
      </c>
      <c r="H526">
        <v>102.65</v>
      </c>
      <c r="I526">
        <v>101.75</v>
      </c>
      <c r="K526">
        <f t="shared" si="95"/>
        <v>4.903162638069552E-4</v>
      </c>
      <c r="L526">
        <f t="shared" si="96"/>
        <v>8.6730274300466878E-4</v>
      </c>
      <c r="M526">
        <f t="shared" si="97"/>
        <v>0</v>
      </c>
      <c r="N526">
        <f t="shared" si="98"/>
        <v>1.4623448864797101E-3</v>
      </c>
      <c r="AB526">
        <f t="shared" si="90"/>
        <v>-7.9381255443671341E-4</v>
      </c>
      <c r="AC526">
        <f t="shared" si="91"/>
        <v>1.6045041106560855E-3</v>
      </c>
      <c r="AD526">
        <f t="shared" si="92"/>
        <v>-8.1659178752568884E-4</v>
      </c>
      <c r="AE526">
        <f t="shared" si="93"/>
        <v>2.6881067719464625E-4</v>
      </c>
      <c r="AF526">
        <f t="shared" si="94"/>
        <v>-9.0879229520031413E-4</v>
      </c>
      <c r="AG526">
        <f t="shared" si="99"/>
        <v>1.6628500791768526E-3</v>
      </c>
    </row>
    <row r="527" spans="1:33" x14ac:dyDescent="0.3">
      <c r="A527" s="17">
        <v>46031</v>
      </c>
      <c r="B527">
        <v>102.6</v>
      </c>
      <c r="C527">
        <v>102</v>
      </c>
      <c r="D527">
        <v>116.05</v>
      </c>
      <c r="E527">
        <v>115.25</v>
      </c>
      <c r="F527">
        <v>107.25</v>
      </c>
      <c r="G527">
        <v>106.35</v>
      </c>
      <c r="H527">
        <v>102.55</v>
      </c>
      <c r="I527">
        <v>101.65</v>
      </c>
      <c r="K527">
        <f t="shared" si="95"/>
        <v>0</v>
      </c>
      <c r="L527">
        <f t="shared" si="96"/>
        <v>-8.6730274300472114E-4</v>
      </c>
      <c r="M527">
        <f t="shared" si="97"/>
        <v>1.8823534969809805E-3</v>
      </c>
      <c r="N527">
        <f t="shared" si="98"/>
        <v>-9.746589465529893E-4</v>
      </c>
      <c r="AB527">
        <f t="shared" si="90"/>
        <v>4.3851852331392219E-4</v>
      </c>
      <c r="AC527">
        <f t="shared" si="91"/>
        <v>-1.5321652496635954E-3</v>
      </c>
      <c r="AD527">
        <f t="shared" si="92"/>
        <v>7.9478998073725257E-5</v>
      </c>
      <c r="AE527">
        <f t="shared" si="93"/>
        <v>-5.2322914973416219E-4</v>
      </c>
      <c r="AF527">
        <f t="shared" si="94"/>
        <v>2.6611742944011694E-4</v>
      </c>
      <c r="AG527">
        <f t="shared" si="99"/>
        <v>-1.7377328366691926E-3</v>
      </c>
    </row>
    <row r="528" spans="1:33" x14ac:dyDescent="0.3">
      <c r="A528" s="17">
        <v>46034</v>
      </c>
      <c r="B528">
        <v>102.65</v>
      </c>
      <c r="C528">
        <v>102.05</v>
      </c>
      <c r="D528">
        <v>116.1</v>
      </c>
      <c r="E528">
        <v>115.3</v>
      </c>
      <c r="F528">
        <v>107.05</v>
      </c>
      <c r="G528">
        <v>106.15</v>
      </c>
      <c r="H528">
        <v>102.55</v>
      </c>
      <c r="I528">
        <v>101.65</v>
      </c>
      <c r="K528">
        <f t="shared" si="95"/>
        <v>4.9007597158271725E-4</v>
      </c>
      <c r="L528">
        <f t="shared" si="96"/>
        <v>4.3374539825539034E-4</v>
      </c>
      <c r="M528">
        <f t="shared" si="97"/>
        <v>-1.8823534969809805E-3</v>
      </c>
      <c r="N528">
        <f t="shared" si="98"/>
        <v>0</v>
      </c>
      <c r="AB528">
        <f t="shared" si="90"/>
        <v>-3.7037849411280226E-3</v>
      </c>
      <c r="AC528">
        <f t="shared" si="91"/>
        <v>1.8428623981343683E-4</v>
      </c>
      <c r="AD528">
        <f t="shared" si="92"/>
        <v>5.7803784553230161E-4</v>
      </c>
      <c r="AE528">
        <f t="shared" si="93"/>
        <v>-2.1001668613706511E-3</v>
      </c>
      <c r="AF528">
        <f t="shared" si="94"/>
        <v>-2.022549672809004E-3</v>
      </c>
      <c r="AG528">
        <f t="shared" si="99"/>
        <v>5.0962272168156124E-4</v>
      </c>
    </row>
    <row r="529" spans="1:33" x14ac:dyDescent="0.3">
      <c r="A529" s="17">
        <v>46035</v>
      </c>
      <c r="B529">
        <v>102.5</v>
      </c>
      <c r="C529">
        <v>101.9</v>
      </c>
      <c r="D529">
        <v>115.65</v>
      </c>
      <c r="E529">
        <v>114.85</v>
      </c>
      <c r="F529">
        <v>107.1</v>
      </c>
      <c r="G529">
        <v>106.2</v>
      </c>
      <c r="H529">
        <v>102.65</v>
      </c>
      <c r="I529">
        <v>101.75</v>
      </c>
      <c r="K529">
        <f t="shared" si="95"/>
        <v>-1.4709490271745675E-3</v>
      </c>
      <c r="L529">
        <f t="shared" si="96"/>
        <v>-3.9104981399061623E-3</v>
      </c>
      <c r="M529">
        <f t="shared" si="97"/>
        <v>4.7092065857343873E-4</v>
      </c>
      <c r="N529">
        <f t="shared" si="98"/>
        <v>9.7465894655313317E-4</v>
      </c>
      <c r="AB529">
        <f t="shared" si="90"/>
        <v>-7.9726992662577261E-4</v>
      </c>
      <c r="AC529">
        <f t="shared" si="91"/>
        <v>-4.0226245354791079E-3</v>
      </c>
      <c r="AD529">
        <f t="shared" si="92"/>
        <v>-2.4521669437063132E-3</v>
      </c>
      <c r="AE529">
        <f t="shared" si="93"/>
        <v>-2.4610675500347993E-3</v>
      </c>
      <c r="AF529">
        <f t="shared" si="94"/>
        <v>-1.6655586909657758E-3</v>
      </c>
      <c r="AG529">
        <f t="shared" si="99"/>
        <v>-4.5815075569758928E-3</v>
      </c>
    </row>
    <row r="530" spans="1:33" x14ac:dyDescent="0.3">
      <c r="A530" s="17">
        <v>46036</v>
      </c>
      <c r="B530">
        <v>102.5</v>
      </c>
      <c r="C530">
        <v>101.9</v>
      </c>
      <c r="D530">
        <v>115.55</v>
      </c>
      <c r="E530">
        <v>114.75</v>
      </c>
      <c r="F530">
        <v>106.6</v>
      </c>
      <c r="G530">
        <v>105.7</v>
      </c>
      <c r="H530">
        <v>102.35</v>
      </c>
      <c r="I530">
        <v>101.45</v>
      </c>
      <c r="K530">
        <f t="shared" si="95"/>
        <v>0</v>
      </c>
      <c r="L530">
        <f t="shared" si="96"/>
        <v>-8.7108019445267303E-4</v>
      </c>
      <c r="M530">
        <f t="shared" si="97"/>
        <v>-4.7192159316465582E-3</v>
      </c>
      <c r="N530">
        <f t="shared" si="98"/>
        <v>-2.9268313576441296E-3</v>
      </c>
      <c r="AB530">
        <f t="shared" si="90"/>
        <v>-8.3955234766942962E-4</v>
      </c>
      <c r="AC530">
        <f t="shared" si="91"/>
        <v>-4.7575389976461772E-4</v>
      </c>
      <c r="AD530">
        <f t="shared" si="92"/>
        <v>2.7805685469672855E-3</v>
      </c>
      <c r="AE530">
        <f t="shared" si="93"/>
        <v>-7.0710704671901896E-4</v>
      </c>
      <c r="AF530">
        <f t="shared" si="94"/>
        <v>7.8441741969515648E-4</v>
      </c>
      <c r="AG530">
        <f t="shared" si="99"/>
        <v>-1.7451531987899241E-4</v>
      </c>
    </row>
    <row r="531" spans="1:33" x14ac:dyDescent="0.3">
      <c r="A531" s="17">
        <v>46037</v>
      </c>
      <c r="B531">
        <v>102.45</v>
      </c>
      <c r="C531">
        <v>101.85</v>
      </c>
      <c r="D531">
        <v>115.45</v>
      </c>
      <c r="E531">
        <v>114.65</v>
      </c>
      <c r="F531">
        <v>106.55</v>
      </c>
      <c r="G531">
        <v>105.65</v>
      </c>
      <c r="H531">
        <v>102.7</v>
      </c>
      <c r="I531">
        <v>101.8</v>
      </c>
      <c r="K531">
        <f t="shared" si="95"/>
        <v>-4.9079755586438573E-4</v>
      </c>
      <c r="L531">
        <f t="shared" si="96"/>
        <v>-8.7183963674101138E-4</v>
      </c>
      <c r="M531">
        <f t="shared" si="97"/>
        <v>-4.7314881412623052E-4</v>
      </c>
      <c r="N531">
        <f t="shared" si="98"/>
        <v>3.413804827214038E-3</v>
      </c>
      <c r="AB531">
        <f t="shared" si="90"/>
        <v>0</v>
      </c>
      <c r="AC531">
        <f t="shared" si="91"/>
        <v>0</v>
      </c>
      <c r="AD531">
        <f t="shared" si="92"/>
        <v>0</v>
      </c>
      <c r="AE531">
        <f t="shared" si="93"/>
        <v>0</v>
      </c>
      <c r="AF531">
        <f t="shared" si="94"/>
        <v>0</v>
      </c>
      <c r="AG531">
        <f t="shared" si="99"/>
        <v>0</v>
      </c>
    </row>
    <row r="532" spans="1:33" x14ac:dyDescent="0.3">
      <c r="A532" s="17">
        <v>46038</v>
      </c>
      <c r="B532">
        <v>102.45</v>
      </c>
      <c r="C532">
        <v>101.85</v>
      </c>
      <c r="D532">
        <v>115.45</v>
      </c>
      <c r="E532">
        <v>114.65</v>
      </c>
      <c r="F532">
        <v>106.55</v>
      </c>
      <c r="G532">
        <v>105.65</v>
      </c>
      <c r="H532">
        <v>102.7</v>
      </c>
      <c r="I532">
        <v>101.8</v>
      </c>
      <c r="K532">
        <f t="shared" si="95"/>
        <v>0</v>
      </c>
      <c r="L532">
        <f t="shared" si="96"/>
        <v>0</v>
      </c>
      <c r="M532">
        <f t="shared" si="97"/>
        <v>0</v>
      </c>
      <c r="N532">
        <f t="shared" si="98"/>
        <v>0</v>
      </c>
      <c r="AB532">
        <f t="shared" si="90"/>
        <v>0</v>
      </c>
      <c r="AC532">
        <f t="shared" si="91"/>
        <v>0</v>
      </c>
      <c r="AD532">
        <f t="shared" si="92"/>
        <v>0</v>
      </c>
      <c r="AE532">
        <f t="shared" si="93"/>
        <v>0</v>
      </c>
      <c r="AF532">
        <f t="shared" si="94"/>
        <v>0</v>
      </c>
      <c r="AG532">
        <f t="shared" si="99"/>
        <v>0</v>
      </c>
    </row>
    <row r="533" spans="1:33" x14ac:dyDescent="0.3">
      <c r="A533" s="17">
        <v>46041</v>
      </c>
      <c r="B533">
        <v>102.45</v>
      </c>
      <c r="C533">
        <v>101.85</v>
      </c>
      <c r="D533">
        <v>115.45</v>
      </c>
      <c r="E533">
        <v>114.65</v>
      </c>
      <c r="F533">
        <v>106.55</v>
      </c>
      <c r="G533">
        <v>105.65</v>
      </c>
      <c r="H533">
        <v>102.7</v>
      </c>
      <c r="I533">
        <v>101.8</v>
      </c>
      <c r="K533">
        <f t="shared" si="95"/>
        <v>0</v>
      </c>
      <c r="L533">
        <f t="shared" si="96"/>
        <v>0</v>
      </c>
      <c r="M533">
        <f t="shared" si="97"/>
        <v>0</v>
      </c>
      <c r="N533">
        <f t="shared" si="98"/>
        <v>0</v>
      </c>
      <c r="AB533">
        <f t="shared" si="90"/>
        <v>-1.1566661489708972E-3</v>
      </c>
      <c r="AC533">
        <f t="shared" si="91"/>
        <v>-3.3105407064483867E-4</v>
      </c>
      <c r="AD533">
        <f t="shared" si="92"/>
        <v>-1.1449933907867426E-3</v>
      </c>
      <c r="AE533">
        <f t="shared" si="93"/>
        <v>-9.6384170154677185E-4</v>
      </c>
      <c r="AF533">
        <f t="shared" si="94"/>
        <v>-1.3681015886972234E-3</v>
      </c>
      <c r="AG533">
        <f t="shared" si="99"/>
        <v>-5.4930048357774649E-4</v>
      </c>
    </row>
    <row r="534" spans="1:33" x14ac:dyDescent="0.3">
      <c r="A534" s="17">
        <v>46042</v>
      </c>
      <c r="B534">
        <v>102.5</v>
      </c>
      <c r="C534">
        <v>101.9</v>
      </c>
      <c r="D534">
        <v>115.3</v>
      </c>
      <c r="E534">
        <v>114.5</v>
      </c>
      <c r="F534">
        <v>106.5</v>
      </c>
      <c r="G534">
        <v>105.6</v>
      </c>
      <c r="H534">
        <v>102.55</v>
      </c>
      <c r="I534">
        <v>101.65</v>
      </c>
      <c r="K534">
        <f t="shared" si="95"/>
        <v>4.907975558645245E-4</v>
      </c>
      <c r="L534">
        <f t="shared" si="96"/>
        <v>-1.3091863096191707E-3</v>
      </c>
      <c r="M534">
        <f t="shared" si="97"/>
        <v>-4.7337278990469158E-4</v>
      </c>
      <c r="N534">
        <f t="shared" si="98"/>
        <v>-1.4616324161230219E-3</v>
      </c>
      <c r="AB534">
        <f t="shared" si="90"/>
        <v>-3.4795620461648591E-3</v>
      </c>
      <c r="AC534">
        <f t="shared" si="91"/>
        <v>2.1712302453877954E-4</v>
      </c>
      <c r="AD534">
        <f t="shared" si="92"/>
        <v>-1.8064143851359534E-3</v>
      </c>
      <c r="AE534">
        <f t="shared" si="93"/>
        <v>-2.3108084026408657E-3</v>
      </c>
      <c r="AF534">
        <f t="shared" si="94"/>
        <v>-3.3593100160293084E-3</v>
      </c>
      <c r="AG534">
        <f t="shared" si="99"/>
        <v>-1.8752682755229707E-4</v>
      </c>
    </row>
    <row r="535" spans="1:33" x14ac:dyDescent="0.3">
      <c r="A535" s="17">
        <v>46043</v>
      </c>
      <c r="B535">
        <v>102.65</v>
      </c>
      <c r="C535">
        <v>102.05</v>
      </c>
      <c r="D535">
        <v>114.85</v>
      </c>
      <c r="E535">
        <v>114.05</v>
      </c>
      <c r="F535">
        <v>106.5</v>
      </c>
      <c r="G535">
        <v>105.6</v>
      </c>
      <c r="H535">
        <v>102.3</v>
      </c>
      <c r="I535">
        <v>101.4</v>
      </c>
      <c r="K535">
        <f t="shared" si="95"/>
        <v>1.4709490271745819E-3</v>
      </c>
      <c r="L535">
        <f t="shared" si="96"/>
        <v>-3.9378742638972774E-3</v>
      </c>
      <c r="M535">
        <f t="shared" si="97"/>
        <v>0</v>
      </c>
      <c r="N535">
        <f t="shared" si="98"/>
        <v>-2.4408115608088089E-3</v>
      </c>
      <c r="AB535">
        <f t="shared" si="90"/>
        <v>-8.0286480401881575E-4</v>
      </c>
      <c r="AC535">
        <f t="shared" si="91"/>
        <v>-4.8569507883107687E-3</v>
      </c>
      <c r="AD535">
        <f t="shared" si="92"/>
        <v>8.1858639406520467E-4</v>
      </c>
      <c r="AE535">
        <f t="shared" si="93"/>
        <v>-2.8690811132547627E-3</v>
      </c>
      <c r="AF535">
        <f t="shared" si="94"/>
        <v>-1.6059463742000921E-4</v>
      </c>
      <c r="AG535">
        <f t="shared" si="99"/>
        <v>-5.185178178049415E-3</v>
      </c>
    </row>
    <row r="536" spans="1:33" x14ac:dyDescent="0.3">
      <c r="A536" s="17">
        <v>46044</v>
      </c>
      <c r="B536">
        <v>102.65</v>
      </c>
      <c r="C536">
        <v>102.05</v>
      </c>
      <c r="D536">
        <v>114.75</v>
      </c>
      <c r="E536">
        <v>113.95</v>
      </c>
      <c r="F536">
        <v>105.9</v>
      </c>
      <c r="G536">
        <v>105</v>
      </c>
      <c r="H536">
        <v>102.4</v>
      </c>
      <c r="I536">
        <v>101.5</v>
      </c>
      <c r="K536">
        <f t="shared" si="95"/>
        <v>0</v>
      </c>
      <c r="L536">
        <f t="shared" si="96"/>
        <v>-8.7719303870367467E-4</v>
      </c>
      <c r="M536">
        <f t="shared" si="97"/>
        <v>-5.6980211146376667E-3</v>
      </c>
      <c r="N536">
        <f t="shared" si="98"/>
        <v>9.7703964782661188E-4</v>
      </c>
      <c r="AB536">
        <f t="shared" si="90"/>
        <v>-1.2463966273930962E-4</v>
      </c>
      <c r="AC536">
        <f t="shared" si="91"/>
        <v>-1.4356972951194897E-3</v>
      </c>
      <c r="AD536">
        <f t="shared" si="92"/>
        <v>-6.4774716510990833E-4</v>
      </c>
      <c r="AE536">
        <f t="shared" si="93"/>
        <v>-5.9068459277993263E-4</v>
      </c>
      <c r="AF536">
        <f t="shared" si="94"/>
        <v>-1.8875032172254198E-4</v>
      </c>
      <c r="AG536">
        <f t="shared" si="99"/>
        <v>-1.3572812837382574E-3</v>
      </c>
    </row>
    <row r="537" spans="1:33" x14ac:dyDescent="0.3">
      <c r="A537" s="17">
        <v>46045</v>
      </c>
      <c r="B537">
        <v>102.5</v>
      </c>
      <c r="C537">
        <v>101.9</v>
      </c>
      <c r="D537">
        <v>114.75</v>
      </c>
      <c r="E537">
        <v>113.95</v>
      </c>
      <c r="F537">
        <v>105.75</v>
      </c>
      <c r="G537">
        <v>104.85</v>
      </c>
      <c r="H537">
        <v>102.35</v>
      </c>
      <c r="I537">
        <v>101.45</v>
      </c>
      <c r="K537">
        <f t="shared" si="95"/>
        <v>-1.4709490271745675E-3</v>
      </c>
      <c r="L537">
        <f t="shared" si="96"/>
        <v>0</v>
      </c>
      <c r="M537">
        <f t="shared" si="97"/>
        <v>-1.4295928095944335E-3</v>
      </c>
      <c r="N537">
        <f t="shared" si="98"/>
        <v>-4.8840049810898554E-4</v>
      </c>
      <c r="AB537">
        <f t="shared" si="90"/>
        <v>-7.061077236803639E-3</v>
      </c>
      <c r="AC537">
        <f t="shared" si="91"/>
        <v>-1.9900632625537667E-3</v>
      </c>
      <c r="AD537">
        <f t="shared" si="92"/>
        <v>4.1981535028282649E-4</v>
      </c>
      <c r="AE537">
        <f t="shared" si="93"/>
        <v>-5.1826068297607594E-3</v>
      </c>
      <c r="AF537">
        <f t="shared" si="94"/>
        <v>-4.2163470725853774E-3</v>
      </c>
      <c r="AG537">
        <f t="shared" si="99"/>
        <v>-1.6875878412145604E-3</v>
      </c>
    </row>
    <row r="538" spans="1:33" x14ac:dyDescent="0.3">
      <c r="A538" s="17">
        <v>46048</v>
      </c>
      <c r="B538">
        <v>102.25</v>
      </c>
      <c r="C538">
        <v>101.65</v>
      </c>
      <c r="D538">
        <v>113.9</v>
      </c>
      <c r="E538">
        <v>113.1</v>
      </c>
      <c r="F538">
        <v>105.55</v>
      </c>
      <c r="G538">
        <v>104.65</v>
      </c>
      <c r="H538">
        <v>102.45</v>
      </c>
      <c r="I538">
        <v>101.55</v>
      </c>
      <c r="K538">
        <f t="shared" si="95"/>
        <v>-2.4564001543234525E-3</v>
      </c>
      <c r="L538">
        <f t="shared" si="96"/>
        <v>-7.4873725696185493E-3</v>
      </c>
      <c r="M538">
        <f t="shared" si="97"/>
        <v>-1.9093084559201558E-3</v>
      </c>
      <c r="N538">
        <f t="shared" si="98"/>
        <v>9.7656257761039207E-4</v>
      </c>
      <c r="AB538">
        <f t="shared" si="90"/>
        <v>1.0170371052580743E-3</v>
      </c>
      <c r="AC538">
        <f t="shared" si="91"/>
        <v>1.583484405763733E-3</v>
      </c>
      <c r="AD538">
        <f t="shared" si="92"/>
        <v>-1.0622127166353031E-5</v>
      </c>
      <c r="AE538">
        <f t="shared" si="93"/>
        <v>1.1104306336673809E-3</v>
      </c>
      <c r="AF538">
        <f t="shared" si="94"/>
        <v>3.5357227761476562E-4</v>
      </c>
      <c r="AG538">
        <f t="shared" si="99"/>
        <v>1.2847726968464438E-3</v>
      </c>
    </row>
    <row r="539" spans="1:33" x14ac:dyDescent="0.3">
      <c r="A539" s="17">
        <v>46049</v>
      </c>
      <c r="B539">
        <v>102.5</v>
      </c>
      <c r="C539">
        <v>101.9</v>
      </c>
      <c r="D539">
        <v>114</v>
      </c>
      <c r="E539">
        <v>113.2</v>
      </c>
      <c r="F539">
        <v>105.7</v>
      </c>
      <c r="G539">
        <v>104.8</v>
      </c>
      <c r="H539">
        <v>102.4</v>
      </c>
      <c r="I539">
        <v>101.45</v>
      </c>
      <c r="K539">
        <f t="shared" si="95"/>
        <v>2.4564001543234725E-3</v>
      </c>
      <c r="L539">
        <f t="shared" si="96"/>
        <v>8.8378264700791573E-4</v>
      </c>
      <c r="M539">
        <f t="shared" si="97"/>
        <v>1.4323229949328906E-3</v>
      </c>
      <c r="N539">
        <f t="shared" si="98"/>
        <v>-4.8816207950132343E-4</v>
      </c>
      <c r="AB539">
        <f t="shared" si="90"/>
        <v>-4.1587329476478659E-5</v>
      </c>
      <c r="AC539">
        <f t="shared" si="91"/>
        <v>3.5798015930323251E-3</v>
      </c>
      <c r="AD539">
        <f t="shared" si="92"/>
        <v>3.2939744812754873E-4</v>
      </c>
      <c r="AE539">
        <f t="shared" si="93"/>
        <v>1.7703689167536611E-3</v>
      </c>
      <c r="AF539">
        <f t="shared" si="94"/>
        <v>1.8865818097110978E-4</v>
      </c>
      <c r="AG539">
        <f t="shared" si="99"/>
        <v>3.9930137423877556E-3</v>
      </c>
    </row>
    <row r="540" spans="1:33" x14ac:dyDescent="0.3">
      <c r="A540" s="17">
        <v>46050</v>
      </c>
      <c r="B540">
        <v>102.45</v>
      </c>
      <c r="C540">
        <v>101.85</v>
      </c>
      <c r="D540">
        <v>114</v>
      </c>
      <c r="E540">
        <v>113.2</v>
      </c>
      <c r="F540">
        <v>106.15</v>
      </c>
      <c r="G540">
        <v>105.25</v>
      </c>
      <c r="H540">
        <v>102.45</v>
      </c>
      <c r="I540">
        <v>101.5</v>
      </c>
      <c r="K540">
        <f t="shared" si="95"/>
        <v>-4.9079755586438573E-4</v>
      </c>
      <c r="L540">
        <f t="shared" si="96"/>
        <v>0</v>
      </c>
      <c r="M540">
        <f t="shared" si="97"/>
        <v>4.2847006755489274E-3</v>
      </c>
      <c r="N540">
        <f t="shared" si="98"/>
        <v>4.8816207950135119E-4</v>
      </c>
      <c r="AB540">
        <f t="shared" si="90"/>
        <v>8.0818179016465381E-4</v>
      </c>
      <c r="AC540">
        <f t="shared" si="91"/>
        <v>0</v>
      </c>
      <c r="AD540">
        <f t="shared" si="92"/>
        <v>0</v>
      </c>
      <c r="AE540">
        <f t="shared" si="93"/>
        <v>5.1816003165417574E-4</v>
      </c>
      <c r="AF540">
        <f t="shared" si="94"/>
        <v>5.4175166783163693E-4</v>
      </c>
      <c r="AG540">
        <f t="shared" si="99"/>
        <v>0</v>
      </c>
    </row>
    <row r="541" spans="1:33" x14ac:dyDescent="0.3">
      <c r="A541" s="17">
        <v>46051</v>
      </c>
      <c r="B541">
        <v>102.45</v>
      </c>
      <c r="C541">
        <v>101.85</v>
      </c>
      <c r="D541">
        <v>114.1</v>
      </c>
      <c r="E541">
        <v>113.3</v>
      </c>
      <c r="F541">
        <v>106.15</v>
      </c>
      <c r="G541">
        <v>105.25</v>
      </c>
      <c r="H541">
        <v>102.45</v>
      </c>
      <c r="I541">
        <v>101.5</v>
      </c>
      <c r="K541">
        <f t="shared" si="95"/>
        <v>0</v>
      </c>
      <c r="L541">
        <f t="shared" si="96"/>
        <v>8.8300226487807762E-4</v>
      </c>
      <c r="M541">
        <f t="shared" si="97"/>
        <v>0</v>
      </c>
      <c r="N541">
        <f t="shared" si="98"/>
        <v>0</v>
      </c>
      <c r="AB541">
        <f t="shared" si="90"/>
        <v>-1.379094181286308E-3</v>
      </c>
      <c r="AC541">
        <f t="shared" si="91"/>
        <v>-3.9423845385534624E-3</v>
      </c>
      <c r="AD541">
        <f t="shared" si="92"/>
        <v>-4.0069240838259915E-3</v>
      </c>
      <c r="AE541">
        <f t="shared" si="93"/>
        <v>-2.5477806414782971E-3</v>
      </c>
      <c r="AF541">
        <f t="shared" si="94"/>
        <v>-2.5140552718171069E-3</v>
      </c>
      <c r="AG541">
        <f t="shared" si="99"/>
        <v>-4.2937174652138178E-3</v>
      </c>
    </row>
    <row r="542" spans="1:33" x14ac:dyDescent="0.3">
      <c r="A542" s="17">
        <v>46052</v>
      </c>
      <c r="B542">
        <v>102.25</v>
      </c>
      <c r="C542">
        <v>101.65</v>
      </c>
      <c r="D542">
        <v>113.95</v>
      </c>
      <c r="E542">
        <v>113.15</v>
      </c>
      <c r="F542">
        <v>105.7</v>
      </c>
      <c r="G542">
        <v>104.8</v>
      </c>
      <c r="H542">
        <v>102</v>
      </c>
      <c r="I542">
        <v>101.1</v>
      </c>
      <c r="K542">
        <f t="shared" si="95"/>
        <v>-1.9656025984590669E-3</v>
      </c>
      <c r="L542">
        <f t="shared" si="96"/>
        <v>-1.3247959544141778E-3</v>
      </c>
      <c r="M542">
        <f t="shared" si="97"/>
        <v>-4.2847006755490696E-3</v>
      </c>
      <c r="N542">
        <f t="shared" si="98"/>
        <v>-4.4020614006376529E-3</v>
      </c>
      <c r="AB542">
        <f t="shared" si="90"/>
        <v>3.8825208532913182E-3</v>
      </c>
      <c r="AC542">
        <f t="shared" si="91"/>
        <v>2.8715620145367128E-3</v>
      </c>
      <c r="AD542">
        <f t="shared" si="92"/>
        <v>1.7091160613538913E-3</v>
      </c>
      <c r="AE542">
        <f t="shared" si="93"/>
        <v>3.5102406201409577E-3</v>
      </c>
      <c r="AF542">
        <f t="shared" si="94"/>
        <v>3.0031129676098877E-3</v>
      </c>
      <c r="AG542">
        <f t="shared" si="99"/>
        <v>2.7517896907345162E-3</v>
      </c>
    </row>
    <row r="543" spans="1:33" x14ac:dyDescent="0.3">
      <c r="A543" s="17">
        <v>46055</v>
      </c>
      <c r="B543">
        <v>102.55</v>
      </c>
      <c r="C543">
        <v>101.95</v>
      </c>
      <c r="D543">
        <v>114.4</v>
      </c>
      <c r="E543">
        <v>113.6</v>
      </c>
      <c r="F543">
        <v>106</v>
      </c>
      <c r="G543">
        <v>105.1</v>
      </c>
      <c r="H543">
        <v>102.15</v>
      </c>
      <c r="I543">
        <v>101.25</v>
      </c>
      <c r="K543">
        <f t="shared" si="95"/>
        <v>2.9469569461085662E-3</v>
      </c>
      <c r="L543">
        <f t="shared" si="96"/>
        <v>3.9691342075044806E-3</v>
      </c>
      <c r="M543">
        <f t="shared" si="97"/>
        <v>2.8585059959636717E-3</v>
      </c>
      <c r="N543">
        <f t="shared" si="98"/>
        <v>1.469507979359978E-3</v>
      </c>
      <c r="AB543">
        <f t="shared" si="90"/>
        <v>1.6515132210950534E-3</v>
      </c>
      <c r="AC543">
        <f t="shared" si="91"/>
        <v>-2.7709677870133629E-3</v>
      </c>
      <c r="AD543">
        <f t="shared" si="92"/>
        <v>7.9517967919901677E-5</v>
      </c>
      <c r="AE543">
        <f t="shared" si="93"/>
        <v>-3.4604636128433624E-4</v>
      </c>
      <c r="AF543">
        <f t="shared" si="94"/>
        <v>1.0792152720346471E-3</v>
      </c>
      <c r="AG543">
        <f t="shared" si="99"/>
        <v>-3.0794367740494669E-3</v>
      </c>
    </row>
    <row r="544" spans="1:33" x14ac:dyDescent="0.3">
      <c r="A544" s="17">
        <v>46056</v>
      </c>
      <c r="B544">
        <v>102.6</v>
      </c>
      <c r="C544">
        <v>102</v>
      </c>
      <c r="D544">
        <v>114.6</v>
      </c>
      <c r="E544">
        <v>113.8</v>
      </c>
      <c r="F544">
        <v>105.65</v>
      </c>
      <c r="G544">
        <v>104.75</v>
      </c>
      <c r="H544">
        <v>102.15</v>
      </c>
      <c r="I544">
        <v>101.25</v>
      </c>
      <c r="K544">
        <f t="shared" si="95"/>
        <v>4.903162638069552E-4</v>
      </c>
      <c r="L544">
        <f t="shared" si="96"/>
        <v>1.7590154051796245E-3</v>
      </c>
      <c r="M544">
        <f t="shared" si="97"/>
        <v>-3.3357190806582683E-3</v>
      </c>
      <c r="N544">
        <f t="shared" si="98"/>
        <v>0</v>
      </c>
      <c r="AB544">
        <f t="shared" si="90"/>
        <v>-1.2487559789995445E-3</v>
      </c>
      <c r="AC544">
        <f t="shared" si="91"/>
        <v>5.2005919225212235E-3</v>
      </c>
      <c r="AD544">
        <f t="shared" si="92"/>
        <v>7.4026987407756857E-4</v>
      </c>
      <c r="AE544">
        <f t="shared" si="93"/>
        <v>1.7819931639419962E-3</v>
      </c>
      <c r="AF544">
        <f t="shared" si="94"/>
        <v>-4.3108635964428241E-4</v>
      </c>
      <c r="AG544">
        <f t="shared" si="99"/>
        <v>5.7859786630243435E-3</v>
      </c>
    </row>
    <row r="545" spans="1:33" x14ac:dyDescent="0.3">
      <c r="A545" s="17">
        <v>46057</v>
      </c>
      <c r="B545">
        <v>102.55</v>
      </c>
      <c r="C545">
        <v>101.95</v>
      </c>
      <c r="D545">
        <v>114.45</v>
      </c>
      <c r="E545">
        <v>113.65</v>
      </c>
      <c r="F545">
        <v>106.3</v>
      </c>
      <c r="G545">
        <v>105.4</v>
      </c>
      <c r="H545">
        <v>102.25</v>
      </c>
      <c r="I545">
        <v>101.35</v>
      </c>
      <c r="K545">
        <f t="shared" si="95"/>
        <v>-4.9031626380689687E-4</v>
      </c>
      <c r="L545">
        <f t="shared" si="96"/>
        <v>-1.3189713936782972E-3</v>
      </c>
      <c r="M545">
        <f t="shared" si="97"/>
        <v>6.1860773050149013E-3</v>
      </c>
      <c r="N545">
        <f t="shared" si="98"/>
        <v>9.7847365927992221E-4</v>
      </c>
      <c r="AB545">
        <f t="shared" si="90"/>
        <v>4.017854643098887E-3</v>
      </c>
      <c r="AC545">
        <f t="shared" si="91"/>
        <v>-1.21394640565486E-3</v>
      </c>
      <c r="AD545">
        <f t="shared" si="92"/>
        <v>0</v>
      </c>
      <c r="AE545">
        <f t="shared" si="93"/>
        <v>1.9875777436349495E-3</v>
      </c>
      <c r="AF545">
        <f t="shared" si="94"/>
        <v>2.6933042546782022E-3</v>
      </c>
      <c r="AG545">
        <f t="shared" si="99"/>
        <v>-1.3147454824533947E-3</v>
      </c>
    </row>
    <row r="546" spans="1:33" x14ac:dyDescent="0.3">
      <c r="A546" s="17">
        <v>46058</v>
      </c>
      <c r="B546">
        <v>102.55</v>
      </c>
      <c r="C546">
        <v>101.95</v>
      </c>
      <c r="D546">
        <v>114.95</v>
      </c>
      <c r="E546">
        <v>114.15</v>
      </c>
      <c r="F546">
        <v>106.15</v>
      </c>
      <c r="G546">
        <v>105.25</v>
      </c>
      <c r="H546">
        <v>102.25</v>
      </c>
      <c r="I546">
        <v>101.35</v>
      </c>
      <c r="K546">
        <f t="shared" si="95"/>
        <v>0</v>
      </c>
      <c r="L546">
        <f t="shared" si="96"/>
        <v>4.3898226772523747E-3</v>
      </c>
      <c r="M546">
        <f t="shared" si="97"/>
        <v>-1.4241635447711908E-3</v>
      </c>
      <c r="N546">
        <f t="shared" si="98"/>
        <v>0</v>
      </c>
      <c r="AB546">
        <f t="shared" si="90"/>
        <v>-6.8408842991937967E-3</v>
      </c>
      <c r="AC546">
        <f t="shared" si="91"/>
        <v>1.2139464056549073E-3</v>
      </c>
      <c r="AD546">
        <f t="shared" si="92"/>
        <v>-4.097936534015639E-4</v>
      </c>
      <c r="AE546">
        <f t="shared" si="93"/>
        <v>-3.797543216458556E-3</v>
      </c>
      <c r="AF546">
        <f t="shared" si="94"/>
        <v>-4.7747040763630273E-3</v>
      </c>
      <c r="AG546">
        <f t="shared" si="99"/>
        <v>1.2771667567812828E-3</v>
      </c>
    </row>
    <row r="547" spans="1:33" x14ac:dyDescent="0.3">
      <c r="A547" s="17">
        <v>46059</v>
      </c>
      <c r="B547">
        <v>102.55</v>
      </c>
      <c r="C547">
        <v>101.95</v>
      </c>
      <c r="D547">
        <v>114.1</v>
      </c>
      <c r="E547">
        <v>113.3</v>
      </c>
      <c r="F547">
        <v>106.3</v>
      </c>
      <c r="G547">
        <v>105.4</v>
      </c>
      <c r="H547">
        <v>102.2</v>
      </c>
      <c r="I547">
        <v>101.3</v>
      </c>
      <c r="K547">
        <f t="shared" si="95"/>
        <v>0</v>
      </c>
      <c r="L547">
        <f t="shared" si="96"/>
        <v>-7.4742049418440211E-3</v>
      </c>
      <c r="M547">
        <f t="shared" si="97"/>
        <v>1.4241635447712463E-3</v>
      </c>
      <c r="N547">
        <f t="shared" si="98"/>
        <v>-4.8911715330703619E-4</v>
      </c>
      <c r="AB547">
        <f t="shared" si="90"/>
        <v>-1.6639019997130572E-4</v>
      </c>
      <c r="AC547">
        <f t="shared" si="91"/>
        <v>-7.1918544411622631E-3</v>
      </c>
      <c r="AD547">
        <f t="shared" si="92"/>
        <v>-7.2845652425924858E-4</v>
      </c>
      <c r="AE547">
        <f t="shared" si="93"/>
        <v>-3.3456361117717259E-3</v>
      </c>
      <c r="AF547">
        <f t="shared" si="94"/>
        <v>-1.8911978652160985E-4</v>
      </c>
      <c r="AG547">
        <f t="shared" si="99"/>
        <v>-7.5127010895346307E-3</v>
      </c>
    </row>
    <row r="548" spans="1:33" x14ac:dyDescent="0.3">
      <c r="A548" s="17">
        <v>46062</v>
      </c>
      <c r="B548">
        <v>102.35</v>
      </c>
      <c r="C548">
        <v>101.75</v>
      </c>
      <c r="D548">
        <v>114.1</v>
      </c>
      <c r="E548">
        <v>113.3</v>
      </c>
      <c r="F548">
        <v>105.45</v>
      </c>
      <c r="G548">
        <v>104.55</v>
      </c>
      <c r="H548">
        <v>102.15</v>
      </c>
      <c r="I548">
        <v>101.25</v>
      </c>
      <c r="K548">
        <f t="shared" si="95"/>
        <v>-1.9636726977598174E-3</v>
      </c>
      <c r="L548">
        <f t="shared" si="96"/>
        <v>0</v>
      </c>
      <c r="M548">
        <f t="shared" si="97"/>
        <v>-8.0972102326194745E-3</v>
      </c>
      <c r="N548">
        <f t="shared" si="98"/>
        <v>-4.8935650597298132E-4</v>
      </c>
      <c r="AB548">
        <f t="shared" si="90"/>
        <v>-4.4538570511012798E-3</v>
      </c>
      <c r="AC548">
        <f t="shared" si="91"/>
        <v>4.0667660972205253E-3</v>
      </c>
      <c r="AD548">
        <f t="shared" si="92"/>
        <v>8.1978784199746078E-4</v>
      </c>
      <c r="AE548">
        <f t="shared" si="93"/>
        <v>-8.8425840259092909E-4</v>
      </c>
      <c r="AF548">
        <f t="shared" si="94"/>
        <v>-2.6074243868472791E-3</v>
      </c>
      <c r="AG548">
        <f t="shared" si="99"/>
        <v>4.4796226347723032E-3</v>
      </c>
    </row>
    <row r="549" spans="1:33" x14ac:dyDescent="0.3">
      <c r="A549" s="17">
        <v>46063</v>
      </c>
      <c r="B549">
        <v>102.35</v>
      </c>
      <c r="C549">
        <v>101.75</v>
      </c>
      <c r="D549">
        <v>113.55</v>
      </c>
      <c r="E549">
        <v>112.75</v>
      </c>
      <c r="F549">
        <v>105.95</v>
      </c>
      <c r="G549">
        <v>105.05</v>
      </c>
      <c r="H549">
        <v>102.25</v>
      </c>
      <c r="I549">
        <v>101.35</v>
      </c>
      <c r="K549">
        <f t="shared" si="95"/>
        <v>0</v>
      </c>
      <c r="L549">
        <f t="shared" si="96"/>
        <v>-4.8661896511728994E-3</v>
      </c>
      <c r="M549">
        <f t="shared" si="97"/>
        <v>4.7710014163669327E-3</v>
      </c>
      <c r="N549">
        <f t="shared" si="98"/>
        <v>9.7847365927992221E-4</v>
      </c>
      <c r="AB549">
        <f t="shared" si="90"/>
        <v>-1.5833448370044995E-3</v>
      </c>
      <c r="AC549">
        <f t="shared" si="91"/>
        <v>4.7812805692289183E-4</v>
      </c>
      <c r="AD549">
        <f t="shared" si="92"/>
        <v>-3.3011942319502598E-4</v>
      </c>
      <c r="AE549">
        <f t="shared" si="93"/>
        <v>-8.4522619316600308E-4</v>
      </c>
      <c r="AF549">
        <f t="shared" si="94"/>
        <v>-1.2783018256039562E-3</v>
      </c>
      <c r="AG549">
        <f t="shared" si="99"/>
        <v>4.0171240652604609E-4</v>
      </c>
    </row>
    <row r="550" spans="1:33" x14ac:dyDescent="0.3">
      <c r="A550" s="17">
        <v>46064</v>
      </c>
      <c r="B550">
        <v>102.4</v>
      </c>
      <c r="C550">
        <v>101.8</v>
      </c>
      <c r="D550">
        <v>113.35</v>
      </c>
      <c r="E550">
        <v>112.55</v>
      </c>
      <c r="F550">
        <v>106</v>
      </c>
      <c r="G550">
        <v>105.1</v>
      </c>
      <c r="H550">
        <v>102.2</v>
      </c>
      <c r="I550">
        <v>101.3</v>
      </c>
      <c r="K550">
        <f t="shared" si="95"/>
        <v>4.912797937180138E-4</v>
      </c>
      <c r="L550">
        <f t="shared" si="96"/>
        <v>-1.7754110300465323E-3</v>
      </c>
      <c r="M550">
        <f t="shared" si="97"/>
        <v>4.7585059189593287E-4</v>
      </c>
      <c r="N550">
        <f t="shared" si="98"/>
        <v>-4.8911715330703619E-4</v>
      </c>
      <c r="AB550">
        <f t="shared" si="90"/>
        <v>3.652140674240671E-3</v>
      </c>
      <c r="AC550">
        <f t="shared" si="91"/>
        <v>1.21567772985306E-3</v>
      </c>
      <c r="AD550">
        <f t="shared" si="92"/>
        <v>4.0979365340157832E-4</v>
      </c>
      <c r="AE550">
        <f t="shared" si="93"/>
        <v>2.9308246712905373E-3</v>
      </c>
      <c r="AF550">
        <f t="shared" si="94"/>
        <v>2.637181060960888E-3</v>
      </c>
      <c r="AG550">
        <f t="shared" si="99"/>
        <v>1.3541992914551384E-3</v>
      </c>
    </row>
    <row r="551" spans="1:33" x14ac:dyDescent="0.3">
      <c r="A551" s="17">
        <v>46065</v>
      </c>
      <c r="B551">
        <v>102.4</v>
      </c>
      <c r="C551">
        <v>101.8</v>
      </c>
      <c r="D551">
        <v>113.8</v>
      </c>
      <c r="E551">
        <v>113</v>
      </c>
      <c r="F551">
        <v>106.15</v>
      </c>
      <c r="G551">
        <v>105.25</v>
      </c>
      <c r="H551">
        <v>102.25</v>
      </c>
      <c r="I551">
        <v>101.35</v>
      </c>
      <c r="K551">
        <f t="shared" si="95"/>
        <v>0</v>
      </c>
      <c r="L551">
        <f t="shared" si="96"/>
        <v>3.9902513595992456E-3</v>
      </c>
      <c r="M551">
        <f t="shared" si="97"/>
        <v>1.4261946795855211E-3</v>
      </c>
      <c r="N551">
        <f t="shared" si="98"/>
        <v>4.8911715330705343E-4</v>
      </c>
      <c r="AB551">
        <f t="shared" si="90"/>
        <v>-4.4670269154298747E-4</v>
      </c>
      <c r="AC551">
        <f t="shared" si="91"/>
        <v>-7.2516554099577333E-5</v>
      </c>
      <c r="AD551">
        <f t="shared" si="92"/>
        <v>-7.967423020652551E-5</v>
      </c>
      <c r="AE551">
        <f t="shared" si="93"/>
        <v>-2.5971064717803362E-4</v>
      </c>
      <c r="AF551">
        <f t="shared" si="94"/>
        <v>-2.7153517768085397E-4</v>
      </c>
      <c r="AG551">
        <f t="shared" si="99"/>
        <v>0</v>
      </c>
    </row>
    <row r="552" spans="1:33" x14ac:dyDescent="0.3">
      <c r="A552" s="17">
        <v>46066</v>
      </c>
      <c r="B552">
        <v>102.35</v>
      </c>
      <c r="C552">
        <v>101.75</v>
      </c>
      <c r="D552">
        <v>113.75</v>
      </c>
      <c r="E552">
        <v>112.95</v>
      </c>
      <c r="F552">
        <v>106.15</v>
      </c>
      <c r="G552">
        <v>105.25</v>
      </c>
      <c r="H552">
        <v>102.25</v>
      </c>
      <c r="I552">
        <v>101.35</v>
      </c>
      <c r="K552">
        <f t="shared" si="95"/>
        <v>-4.9127979371793714E-4</v>
      </c>
      <c r="L552">
        <f t="shared" si="96"/>
        <v>-4.4257579832828261E-4</v>
      </c>
      <c r="M552">
        <f t="shared" si="97"/>
        <v>0</v>
      </c>
      <c r="N552">
        <f t="shared" si="98"/>
        <v>0</v>
      </c>
      <c r="AB552">
        <f t="shared" si="90"/>
        <v>0</v>
      </c>
      <c r="AC552">
        <f t="shared" si="91"/>
        <v>0</v>
      </c>
      <c r="AD552">
        <f t="shared" si="92"/>
        <v>0</v>
      </c>
      <c r="AE552">
        <f t="shared" si="93"/>
        <v>0</v>
      </c>
      <c r="AF552">
        <f t="shared" si="94"/>
        <v>0</v>
      </c>
      <c r="AG552">
        <f t="shared" si="99"/>
        <v>0</v>
      </c>
    </row>
    <row r="553" spans="1:33" x14ac:dyDescent="0.3">
      <c r="A553" s="17">
        <v>46069</v>
      </c>
      <c r="B553">
        <v>102.35</v>
      </c>
      <c r="C553">
        <v>101.75</v>
      </c>
      <c r="D553">
        <v>113.75</v>
      </c>
      <c r="E553">
        <v>112.95</v>
      </c>
      <c r="F553">
        <v>106.15</v>
      </c>
      <c r="G553">
        <v>105.25</v>
      </c>
      <c r="H553">
        <v>102.25</v>
      </c>
      <c r="I553">
        <v>101.35</v>
      </c>
      <c r="K553">
        <f t="shared" si="95"/>
        <v>0</v>
      </c>
      <c r="L553">
        <f t="shared" si="96"/>
        <v>0</v>
      </c>
      <c r="M553">
        <f t="shared" si="97"/>
        <v>0</v>
      </c>
      <c r="N553">
        <f t="shared" si="98"/>
        <v>0</v>
      </c>
      <c r="AB553">
        <f t="shared" si="90"/>
        <v>0</v>
      </c>
      <c r="AC553">
        <f t="shared" si="91"/>
        <v>0</v>
      </c>
      <c r="AD553">
        <f t="shared" si="92"/>
        <v>0</v>
      </c>
      <c r="AE553">
        <f t="shared" si="93"/>
        <v>0</v>
      </c>
      <c r="AF553">
        <f t="shared" si="94"/>
        <v>0</v>
      </c>
      <c r="AG553">
        <f t="shared" si="99"/>
        <v>0</v>
      </c>
    </row>
    <row r="554" spans="1:33" x14ac:dyDescent="0.3">
      <c r="A554" s="17">
        <v>46070</v>
      </c>
      <c r="B554">
        <v>102.35</v>
      </c>
      <c r="C554">
        <v>101.75</v>
      </c>
      <c r="D554">
        <v>113.75</v>
      </c>
      <c r="E554">
        <v>112.95</v>
      </c>
      <c r="F554">
        <v>106.15</v>
      </c>
      <c r="G554">
        <v>105.25</v>
      </c>
      <c r="H554">
        <v>102.25</v>
      </c>
      <c r="I554">
        <v>101.35</v>
      </c>
      <c r="K554">
        <f t="shared" si="95"/>
        <v>0</v>
      </c>
      <c r="L554">
        <f t="shared" si="96"/>
        <v>0</v>
      </c>
      <c r="M554">
        <f t="shared" si="97"/>
        <v>0</v>
      </c>
      <c r="N554">
        <f t="shared" si="98"/>
        <v>0</v>
      </c>
      <c r="AB554">
        <f t="shared" si="90"/>
        <v>3.8056228987243257E-3</v>
      </c>
      <c r="AC554">
        <f t="shared" si="91"/>
        <v>2.898527056106108E-4</v>
      </c>
      <c r="AD554">
        <f t="shared" si="92"/>
        <v>1.5466420440102971E-3</v>
      </c>
      <c r="AE554">
        <f t="shared" si="93"/>
        <v>2.3332682737117754E-3</v>
      </c>
      <c r="AF554">
        <f t="shared" si="94"/>
        <v>3.0060288701015416E-3</v>
      </c>
      <c r="AG554">
        <f t="shared" si="99"/>
        <v>1.1262602032263182E-4</v>
      </c>
    </row>
    <row r="555" spans="1:33" x14ac:dyDescent="0.3">
      <c r="A555" s="17">
        <v>46071</v>
      </c>
      <c r="B555">
        <v>102.55</v>
      </c>
      <c r="C555">
        <v>101.95</v>
      </c>
      <c r="D555">
        <v>114.2</v>
      </c>
      <c r="E555">
        <v>113.4</v>
      </c>
      <c r="F555">
        <v>106.15</v>
      </c>
      <c r="G555">
        <v>105.25</v>
      </c>
      <c r="H555">
        <v>102.4</v>
      </c>
      <c r="I555">
        <v>101.5</v>
      </c>
      <c r="K555">
        <f t="shared" si="95"/>
        <v>1.9636726977598734E-3</v>
      </c>
      <c r="L555">
        <f t="shared" si="96"/>
        <v>3.9761483796394168E-3</v>
      </c>
      <c r="M555">
        <f t="shared" si="97"/>
        <v>0</v>
      </c>
      <c r="N555">
        <f t="shared" si="98"/>
        <v>1.465917682496412E-3</v>
      </c>
      <c r="AB555">
        <f t="shared" si="90"/>
        <v>-4.1566928529130945E-5</v>
      </c>
      <c r="AC555">
        <f t="shared" si="91"/>
        <v>-1.2880875634860441E-3</v>
      </c>
      <c r="AD555">
        <f t="shared" si="92"/>
        <v>-2.5377194464973676E-3</v>
      </c>
      <c r="AE555">
        <f t="shared" si="93"/>
        <v>-5.8928054050218042E-4</v>
      </c>
      <c r="AF555">
        <f t="shared" si="94"/>
        <v>-1.1338871978842399E-3</v>
      </c>
      <c r="AG555">
        <f t="shared" si="99"/>
        <v>-1.5420379493115703E-3</v>
      </c>
    </row>
    <row r="556" spans="1:33" x14ac:dyDescent="0.3">
      <c r="A556" s="17">
        <v>46072</v>
      </c>
      <c r="B556">
        <v>102.5</v>
      </c>
      <c r="C556">
        <v>101.9</v>
      </c>
      <c r="D556">
        <v>114.2</v>
      </c>
      <c r="E556">
        <v>113.4</v>
      </c>
      <c r="F556">
        <v>106</v>
      </c>
      <c r="G556">
        <v>105.1</v>
      </c>
      <c r="H556">
        <v>102.1</v>
      </c>
      <c r="I556">
        <v>101.2</v>
      </c>
      <c r="K556">
        <f t="shared" si="95"/>
        <v>-4.9055679178499853E-4</v>
      </c>
      <c r="L556">
        <f t="shared" si="96"/>
        <v>0</v>
      </c>
      <c r="M556">
        <f t="shared" si="97"/>
        <v>-1.4261946795854508E-3</v>
      </c>
      <c r="N556">
        <f t="shared" si="98"/>
        <v>-2.9339874347876498E-3</v>
      </c>
      <c r="AB556">
        <f t="shared" si="90"/>
        <v>-1.2482327144217164E-4</v>
      </c>
      <c r="AC556">
        <f t="shared" si="91"/>
        <v>-2.1744287197755324E-4</v>
      </c>
      <c r="AD556">
        <f t="shared" si="92"/>
        <v>-1.0598981815331287E-3</v>
      </c>
      <c r="AE556">
        <f t="shared" si="93"/>
        <v>0</v>
      </c>
      <c r="AF556">
        <f t="shared" si="94"/>
        <v>-3.7870289756908711E-4</v>
      </c>
      <c r="AG556">
        <f t="shared" si="99"/>
        <v>-7.5286339297272363E-5</v>
      </c>
    </row>
    <row r="557" spans="1:33" x14ac:dyDescent="0.3">
      <c r="A557" s="17">
        <v>46073</v>
      </c>
      <c r="B557">
        <v>102.35</v>
      </c>
      <c r="C557">
        <v>101.75</v>
      </c>
      <c r="D557">
        <v>114.2</v>
      </c>
      <c r="E557">
        <v>113.4</v>
      </c>
      <c r="F557">
        <v>106</v>
      </c>
      <c r="G557">
        <v>105.1</v>
      </c>
      <c r="H557">
        <v>102</v>
      </c>
      <c r="I557">
        <v>101.1</v>
      </c>
      <c r="K557">
        <f t="shared" si="95"/>
        <v>-1.4731159059747821E-3</v>
      </c>
      <c r="L557">
        <f t="shared" si="96"/>
        <v>0</v>
      </c>
      <c r="M557">
        <f t="shared" si="97"/>
        <v>0</v>
      </c>
      <c r="N557">
        <f t="shared" si="98"/>
        <v>-9.7991188634869017E-4</v>
      </c>
      <c r="AB557">
        <f t="shared" si="90"/>
        <v>-4.4499199243781956E-3</v>
      </c>
      <c r="AC557">
        <f t="shared" si="91"/>
        <v>4.054185841465522E-4</v>
      </c>
      <c r="AD557">
        <f t="shared" si="92"/>
        <v>0</v>
      </c>
      <c r="AE557">
        <f t="shared" si="93"/>
        <v>-2.6565144049681823E-3</v>
      </c>
      <c r="AF557">
        <f t="shared" si="94"/>
        <v>-2.9829322685654275E-3</v>
      </c>
      <c r="AG557">
        <f t="shared" si="99"/>
        <v>4.3908219467217219E-4</v>
      </c>
    </row>
    <row r="558" spans="1:33" x14ac:dyDescent="0.3">
      <c r="A558" s="17">
        <v>46076</v>
      </c>
      <c r="B558">
        <v>102.35</v>
      </c>
      <c r="C558">
        <v>101.75</v>
      </c>
      <c r="D558">
        <v>113.65</v>
      </c>
      <c r="E558">
        <v>112.85</v>
      </c>
      <c r="F558">
        <v>106.05</v>
      </c>
      <c r="G558">
        <v>105.15</v>
      </c>
      <c r="H558">
        <v>102</v>
      </c>
      <c r="I558">
        <v>101.1</v>
      </c>
      <c r="K558">
        <f t="shared" si="95"/>
        <v>0</v>
      </c>
      <c r="L558">
        <f t="shared" si="96"/>
        <v>-4.8618880301070661E-3</v>
      </c>
      <c r="M558">
        <f t="shared" si="97"/>
        <v>4.7562426580340155E-4</v>
      </c>
      <c r="N558">
        <f t="shared" si="98"/>
        <v>0</v>
      </c>
      <c r="AB558">
        <f t="shared" si="90"/>
        <v>4.1628191506587066E-5</v>
      </c>
      <c r="AC558">
        <f t="shared" si="91"/>
        <v>7.2516554099588649E-5</v>
      </c>
      <c r="AD558">
        <f t="shared" si="92"/>
        <v>7.9674230206537938E-5</v>
      </c>
      <c r="AE558">
        <f t="shared" si="93"/>
        <v>0</v>
      </c>
      <c r="AF558">
        <f t="shared" si="94"/>
        <v>0</v>
      </c>
      <c r="AG558">
        <f t="shared" si="99"/>
        <v>0</v>
      </c>
    </row>
    <row r="559" spans="1:33" x14ac:dyDescent="0.3">
      <c r="A559" s="17">
        <v>46077</v>
      </c>
      <c r="B559">
        <v>102.4</v>
      </c>
      <c r="C559">
        <v>101.8</v>
      </c>
      <c r="D559">
        <v>113.65</v>
      </c>
      <c r="E559">
        <v>112.85</v>
      </c>
      <c r="F559">
        <v>106.05</v>
      </c>
      <c r="G559">
        <v>105.15</v>
      </c>
      <c r="H559">
        <v>102</v>
      </c>
      <c r="I559">
        <v>101.1</v>
      </c>
      <c r="K559">
        <f t="shared" si="95"/>
        <v>4.912797937180138E-4</v>
      </c>
      <c r="L559">
        <f t="shared" si="96"/>
        <v>0</v>
      </c>
      <c r="M559">
        <f t="shared" si="97"/>
        <v>0</v>
      </c>
      <c r="N559">
        <f t="shared" si="98"/>
        <v>0</v>
      </c>
      <c r="AB559">
        <f t="shared" si="90"/>
        <v>-7.6979816960898986E-4</v>
      </c>
      <c r="AC559">
        <f t="shared" si="91"/>
        <v>-1.1443537464836786E-3</v>
      </c>
      <c r="AD559">
        <f t="shared" si="92"/>
        <v>9.0062792895659826E-4</v>
      </c>
      <c r="AE559">
        <f t="shared" si="93"/>
        <v>-1.1100685193801546E-3</v>
      </c>
      <c r="AF559">
        <f t="shared" si="94"/>
        <v>-1.6521001390070453E-4</v>
      </c>
      <c r="AG559">
        <f t="shared" si="99"/>
        <v>-1.2425872562383754E-3</v>
      </c>
    </row>
    <row r="560" spans="1:33" x14ac:dyDescent="0.3">
      <c r="A560" s="17">
        <v>46078</v>
      </c>
      <c r="B560">
        <v>102.45</v>
      </c>
      <c r="C560">
        <v>101.85</v>
      </c>
      <c r="D560">
        <v>113.55</v>
      </c>
      <c r="E560">
        <v>112.75</v>
      </c>
      <c r="F560">
        <v>105.9</v>
      </c>
      <c r="G560">
        <v>105</v>
      </c>
      <c r="H560">
        <v>102.1</v>
      </c>
      <c r="I560">
        <v>101.2</v>
      </c>
      <c r="K560">
        <f t="shared" si="95"/>
        <v>4.9103855639239544E-4</v>
      </c>
      <c r="L560">
        <f t="shared" si="96"/>
        <v>-8.8652488075689046E-4</v>
      </c>
      <c r="M560">
        <f t="shared" si="97"/>
        <v>-1.427551991185446E-3</v>
      </c>
      <c r="N560">
        <f t="shared" si="98"/>
        <v>9.7991188634878709E-4</v>
      </c>
      <c r="AB560">
        <f t="shared" si="90"/>
        <v>2.0271676457296831E-3</v>
      </c>
      <c r="AC560">
        <f t="shared" si="91"/>
        <v>8.1141610801185394E-4</v>
      </c>
      <c r="AD560">
        <f t="shared" si="92"/>
        <v>4.1019492015298734E-4</v>
      </c>
      <c r="AE560">
        <f t="shared" si="93"/>
        <v>1.6930252978145492E-3</v>
      </c>
      <c r="AF560">
        <f t="shared" si="94"/>
        <v>1.5480916141890916E-3</v>
      </c>
      <c r="AG560">
        <f t="shared" si="99"/>
        <v>9.1640692333082904E-4</v>
      </c>
    </row>
    <row r="561" spans="1:33" x14ac:dyDescent="0.3">
      <c r="A561" s="17">
        <v>46079</v>
      </c>
      <c r="B561">
        <v>102.45</v>
      </c>
      <c r="C561">
        <v>101.85</v>
      </c>
      <c r="D561">
        <v>113.8</v>
      </c>
      <c r="E561">
        <v>113</v>
      </c>
      <c r="F561">
        <v>106</v>
      </c>
      <c r="G561">
        <v>105.1</v>
      </c>
      <c r="H561">
        <v>102.15</v>
      </c>
      <c r="I561">
        <v>101.25</v>
      </c>
      <c r="K561">
        <f t="shared" si="95"/>
        <v>0</v>
      </c>
      <c r="L561">
        <f t="shared" si="96"/>
        <v>2.2148403295528213E-3</v>
      </c>
      <c r="M561">
        <f t="shared" si="97"/>
        <v>9.5192772538193397E-4</v>
      </c>
      <c r="N561">
        <f t="shared" si="98"/>
        <v>4.8959609301130896E-4</v>
      </c>
      <c r="AB561">
        <f t="shared" si="90"/>
        <v>1.1725412021547745E-3</v>
      </c>
      <c r="AC561">
        <f t="shared" si="91"/>
        <v>3.3293763847172151E-4</v>
      </c>
      <c r="AD561">
        <f t="shared" si="92"/>
        <v>3.3035908150916315E-4</v>
      </c>
      <c r="AE561">
        <f t="shared" si="93"/>
        <v>9.7496324561797173E-4</v>
      </c>
      <c r="AF561">
        <f t="shared" si="94"/>
        <v>1.0030050139289007E-3</v>
      </c>
      <c r="AG561">
        <f t="shared" si="99"/>
        <v>4.7667930973859315E-4</v>
      </c>
    </row>
    <row r="562" spans="1:33" x14ac:dyDescent="0.3">
      <c r="A562" s="17">
        <v>46080</v>
      </c>
      <c r="B562">
        <v>102.4</v>
      </c>
      <c r="C562">
        <v>101.8</v>
      </c>
      <c r="D562">
        <v>113.95</v>
      </c>
      <c r="E562">
        <v>113.15</v>
      </c>
      <c r="F562">
        <v>106.05</v>
      </c>
      <c r="G562">
        <v>105.15</v>
      </c>
      <c r="H562">
        <v>102.2</v>
      </c>
      <c r="I562">
        <v>101.3</v>
      </c>
      <c r="K562">
        <f t="shared" si="95"/>
        <v>-4.9103855639245518E-4</v>
      </c>
      <c r="L562">
        <f t="shared" si="96"/>
        <v>1.3265533672058927E-3</v>
      </c>
      <c r="M562">
        <f t="shared" si="97"/>
        <v>4.7562426580340155E-4</v>
      </c>
      <c r="N562">
        <f t="shared" si="98"/>
        <v>4.8935650597292505E-4</v>
      </c>
      <c r="AB562">
        <f t="shared" si="90"/>
        <v>-8.9253049359750423E-4</v>
      </c>
      <c r="AC562">
        <f t="shared" si="91"/>
        <v>-5.5048733577513253E-4</v>
      </c>
      <c r="AD562">
        <f t="shared" si="92"/>
        <v>-1.5938762199253025E-4</v>
      </c>
      <c r="AE562">
        <f t="shared" si="93"/>
        <v>-7.1536748924095857E-4</v>
      </c>
      <c r="AF562">
        <f t="shared" si="94"/>
        <v>-5.4247017146347859E-4</v>
      </c>
      <c r="AG562">
        <f t="shared" si="99"/>
        <v>-4.3908219467223312E-4</v>
      </c>
    </row>
    <row r="563" spans="1:33" x14ac:dyDescent="0.3">
      <c r="A563" s="17">
        <v>46083</v>
      </c>
      <c r="B563">
        <v>102.3</v>
      </c>
      <c r="C563">
        <v>101.7</v>
      </c>
      <c r="D563">
        <v>113.85</v>
      </c>
      <c r="E563">
        <v>113.05</v>
      </c>
      <c r="F563">
        <v>106</v>
      </c>
      <c r="G563">
        <v>105.1</v>
      </c>
      <c r="H563">
        <v>102.2</v>
      </c>
      <c r="I563">
        <v>101.3</v>
      </c>
      <c r="K563">
        <f t="shared" si="95"/>
        <v>-9.8280106190808884E-4</v>
      </c>
      <c r="L563">
        <f t="shared" si="96"/>
        <v>-8.8417335556761564E-4</v>
      </c>
      <c r="M563">
        <f t="shared" si="97"/>
        <v>-4.7562426580346752E-4</v>
      </c>
      <c r="N563">
        <f t="shared" si="98"/>
        <v>0</v>
      </c>
      <c r="AB563">
        <f t="shared" si="90"/>
        <v>-3.3275476080727433E-3</v>
      </c>
      <c r="AC563">
        <f t="shared" si="91"/>
        <v>-1.4521146562265259E-4</v>
      </c>
      <c r="AD563">
        <f t="shared" si="92"/>
        <v>-1.5954442243296859E-4</v>
      </c>
      <c r="AE563">
        <f t="shared" si="93"/>
        <v>-2.0799887004070688E-3</v>
      </c>
      <c r="AF563">
        <f t="shared" si="94"/>
        <v>-2.1746898229860943E-3</v>
      </c>
      <c r="AG563">
        <f t="shared" si="99"/>
        <v>0</v>
      </c>
    </row>
    <row r="564" spans="1:33" x14ac:dyDescent="0.3">
      <c r="A564" s="17">
        <v>46084</v>
      </c>
      <c r="B564">
        <v>102.2</v>
      </c>
      <c r="C564">
        <v>101.6</v>
      </c>
      <c r="D564">
        <v>113.45</v>
      </c>
      <c r="E564">
        <v>112.65</v>
      </c>
      <c r="F564">
        <v>106</v>
      </c>
      <c r="G564">
        <v>105.1</v>
      </c>
      <c r="H564">
        <v>102.2</v>
      </c>
      <c r="I564">
        <v>101.3</v>
      </c>
      <c r="K564">
        <f t="shared" si="95"/>
        <v>-9.8376791013283799E-4</v>
      </c>
      <c r="L564">
        <f t="shared" si="96"/>
        <v>-3.5445318457252915E-3</v>
      </c>
      <c r="M564">
        <f t="shared" si="97"/>
        <v>0</v>
      </c>
      <c r="N564">
        <f t="shared" si="98"/>
        <v>0</v>
      </c>
      <c r="AB564">
        <f t="shared" si="90"/>
        <v>-6.6482723270634694E-3</v>
      </c>
      <c r="AC564">
        <f t="shared" si="91"/>
        <v>-2.2480757808365959E-3</v>
      </c>
      <c r="AD564">
        <f t="shared" si="92"/>
        <v>-4.3486097752625189E-3</v>
      </c>
      <c r="AE564">
        <f t="shared" si="93"/>
        <v>-5.1662323938933595E-3</v>
      </c>
      <c r="AF564">
        <f t="shared" si="94"/>
        <v>-6.26801736337536E-3</v>
      </c>
      <c r="AG564">
        <f t="shared" si="99"/>
        <v>-2.5753506726119537E-3</v>
      </c>
    </row>
    <row r="565" spans="1:33" x14ac:dyDescent="0.3">
      <c r="A565" s="17">
        <v>46085</v>
      </c>
      <c r="B565">
        <v>102.05</v>
      </c>
      <c r="C565">
        <v>101.45</v>
      </c>
      <c r="D565">
        <v>112.65</v>
      </c>
      <c r="E565">
        <v>111.85</v>
      </c>
      <c r="F565">
        <v>105.75</v>
      </c>
      <c r="G565">
        <v>104.85</v>
      </c>
      <c r="H565">
        <v>101.7</v>
      </c>
      <c r="I565">
        <v>100.8</v>
      </c>
      <c r="K565">
        <f t="shared" si="95"/>
        <v>-1.477468872557654E-3</v>
      </c>
      <c r="L565">
        <f t="shared" si="96"/>
        <v>-7.126978942114913E-3</v>
      </c>
      <c r="M565">
        <f t="shared" si="97"/>
        <v>-2.3815205349765386E-3</v>
      </c>
      <c r="N565">
        <f t="shared" si="98"/>
        <v>-4.9043747150897639E-3</v>
      </c>
      <c r="AB565">
        <f t="shared" si="90"/>
        <v>-5.711139362552734E-3</v>
      </c>
      <c r="AC565">
        <f t="shared" si="91"/>
        <v>-1.6244174943304806E-2</v>
      </c>
      <c r="AD565">
        <f t="shared" si="92"/>
        <v>-4.0227356061088831E-3</v>
      </c>
      <c r="AE565">
        <f t="shared" si="93"/>
        <v>-1.0976170448120173E-2</v>
      </c>
      <c r="AF565">
        <f t="shared" si="94"/>
        <v>-5.0988841361377692E-3</v>
      </c>
      <c r="AG565">
        <f t="shared" si="99"/>
        <v>-1.7185091757248788E-2</v>
      </c>
    </row>
    <row r="566" spans="1:33" x14ac:dyDescent="0.3">
      <c r="A566" s="17">
        <v>46086</v>
      </c>
      <c r="B566">
        <v>101.7</v>
      </c>
      <c r="C566">
        <v>101</v>
      </c>
      <c r="D566">
        <v>112.1</v>
      </c>
      <c r="E566">
        <v>111.2</v>
      </c>
      <c r="F566">
        <v>104</v>
      </c>
      <c r="G566">
        <v>102.95</v>
      </c>
      <c r="H566">
        <v>101.3</v>
      </c>
      <c r="I566">
        <v>100.4</v>
      </c>
      <c r="K566">
        <f t="shared" si="95"/>
        <v>-4.4455494305642934E-3</v>
      </c>
      <c r="L566">
        <f t="shared" si="96"/>
        <v>-5.8283061196564949E-3</v>
      </c>
      <c r="M566">
        <f t="shared" si="97"/>
        <v>-1.828732387413037E-2</v>
      </c>
      <c r="N566">
        <f t="shared" si="98"/>
        <v>-3.9408917998765896E-3</v>
      </c>
      <c r="AB566">
        <f t="shared" si="90"/>
        <v>3.0438831343331946E-3</v>
      </c>
      <c r="AC566">
        <f t="shared" si="91"/>
        <v>6.0681604832881686E-3</v>
      </c>
      <c r="AD566">
        <f t="shared" si="92"/>
        <v>2.7983715445228908E-3</v>
      </c>
      <c r="AE566">
        <f t="shared" si="93"/>
        <v>4.643993775847303E-3</v>
      </c>
      <c r="AF566">
        <f t="shared" si="94"/>
        <v>3.0708823508924601E-3</v>
      </c>
      <c r="AG566">
        <f t="shared" si="99"/>
        <v>6.482971142868727E-3</v>
      </c>
    </row>
    <row r="567" spans="1:33" x14ac:dyDescent="0.3">
      <c r="A567" s="17">
        <v>46087</v>
      </c>
      <c r="B567">
        <v>101.9</v>
      </c>
      <c r="C567">
        <v>101.2</v>
      </c>
      <c r="D567">
        <v>112.45</v>
      </c>
      <c r="E567">
        <v>111.55</v>
      </c>
      <c r="F567">
        <v>104.7</v>
      </c>
      <c r="G567">
        <v>103.65</v>
      </c>
      <c r="H567">
        <v>101.6</v>
      </c>
      <c r="I567">
        <v>100.7</v>
      </c>
      <c r="K567">
        <f t="shared" si="95"/>
        <v>1.9782400121057205E-3</v>
      </c>
      <c r="L567">
        <f t="shared" si="96"/>
        <v>3.1425390620594433E-3</v>
      </c>
      <c r="M567">
        <f t="shared" si="97"/>
        <v>6.7764054079901687E-3</v>
      </c>
      <c r="N567">
        <f t="shared" si="98"/>
        <v>2.9571238897438627E-3</v>
      </c>
      <c r="AB567">
        <f t="shared" si="90"/>
        <v>-1.1311923260670886E-2</v>
      </c>
      <c r="AC567">
        <f t="shared" si="91"/>
        <v>-1.3552631021943953E-2</v>
      </c>
      <c r="AD567">
        <f t="shared" si="92"/>
        <v>-4.8686051347536143E-3</v>
      </c>
      <c r="AE567">
        <f t="shared" si="93"/>
        <v>-1.3572967799079245E-2</v>
      </c>
      <c r="AF567">
        <f t="shared" si="94"/>
        <v>-9.5681756744007123E-3</v>
      </c>
      <c r="AG567">
        <f t="shared" si="99"/>
        <v>-1.4778752447557039E-2</v>
      </c>
    </row>
    <row r="568" spans="1:33" x14ac:dyDescent="0.3">
      <c r="A568" s="17">
        <v>46090</v>
      </c>
      <c r="B568">
        <v>101.7</v>
      </c>
      <c r="C568">
        <v>101</v>
      </c>
      <c r="D568">
        <v>111.1</v>
      </c>
      <c r="E568">
        <v>110.2</v>
      </c>
      <c r="F568">
        <v>103.1</v>
      </c>
      <c r="G568">
        <v>102.05</v>
      </c>
      <c r="H568">
        <v>101.05</v>
      </c>
      <c r="I568">
        <v>100.15</v>
      </c>
      <c r="K568">
        <f t="shared" si="95"/>
        <v>-1.9782400121057075E-3</v>
      </c>
      <c r="L568">
        <f t="shared" si="96"/>
        <v>-1.2176024159727397E-2</v>
      </c>
      <c r="M568">
        <f t="shared" si="97"/>
        <v>-1.55569496259349E-2</v>
      </c>
      <c r="N568">
        <f t="shared" si="98"/>
        <v>-5.4280912947514909E-3</v>
      </c>
      <c r="AB568">
        <f t="shared" si="90"/>
        <v>3.6808621588133494E-5</v>
      </c>
      <c r="AC568">
        <f t="shared" si="91"/>
        <v>5.9285802964374366E-4</v>
      </c>
      <c r="AD568">
        <f t="shared" si="92"/>
        <v>-6.9657565554613506E-3</v>
      </c>
      <c r="AE568">
        <f t="shared" si="93"/>
        <v>8.7306978288453777E-4</v>
      </c>
      <c r="AF568">
        <f t="shared" si="94"/>
        <v>-2.600767007419456E-3</v>
      </c>
      <c r="AG568">
        <f t="shared" si="99"/>
        <v>7.8357993352362078E-4</v>
      </c>
    </row>
    <row r="569" spans="1:33" x14ac:dyDescent="0.3">
      <c r="A569" s="17">
        <v>46091</v>
      </c>
      <c r="B569">
        <v>101.25</v>
      </c>
      <c r="C569">
        <v>100.55</v>
      </c>
      <c r="D569">
        <v>111.15</v>
      </c>
      <c r="E569">
        <v>110.25</v>
      </c>
      <c r="F569">
        <v>103.25</v>
      </c>
      <c r="G569">
        <v>102.2</v>
      </c>
      <c r="H569">
        <v>100.3</v>
      </c>
      <c r="I569">
        <v>99.4</v>
      </c>
      <c r="K569">
        <f t="shared" si="95"/>
        <v>-4.4654006225984012E-3</v>
      </c>
      <c r="L569">
        <f t="shared" si="96"/>
        <v>4.5361760814123623E-4</v>
      </c>
      <c r="M569">
        <f t="shared" si="97"/>
        <v>1.4687885137503786E-3</v>
      </c>
      <c r="N569">
        <f t="shared" si="98"/>
        <v>-7.4497488817401262E-3</v>
      </c>
      <c r="AB569">
        <f t="shared" si="90"/>
        <v>-1.3304201266778159E-3</v>
      </c>
      <c r="AC569">
        <f t="shared" si="91"/>
        <v>-3.9083565233377195E-3</v>
      </c>
      <c r="AD569">
        <f t="shared" si="92"/>
        <v>6.9089090987247128E-3</v>
      </c>
      <c r="AE569">
        <f t="shared" si="93"/>
        <v>-2.6222525659078768E-3</v>
      </c>
      <c r="AF569">
        <f t="shared" si="94"/>
        <v>2.4260300133537409E-3</v>
      </c>
      <c r="AG569">
        <f t="shared" si="99"/>
        <v>-3.4254594541240761E-3</v>
      </c>
    </row>
    <row r="570" spans="1:33" x14ac:dyDescent="0.3">
      <c r="A570" s="17">
        <v>46092</v>
      </c>
      <c r="B570">
        <v>101.25</v>
      </c>
      <c r="C570">
        <v>100.45</v>
      </c>
      <c r="D570">
        <v>111.1</v>
      </c>
      <c r="E570">
        <v>110.1</v>
      </c>
      <c r="F570">
        <v>102.9</v>
      </c>
      <c r="G570">
        <v>101.75</v>
      </c>
      <c r="H570">
        <v>101.15</v>
      </c>
      <c r="I570">
        <v>100.25</v>
      </c>
      <c r="K570">
        <f t="shared" si="95"/>
        <v>-9.9502495771755907E-4</v>
      </c>
      <c r="L570">
        <f t="shared" si="96"/>
        <v>-1.3614705983211856E-3</v>
      </c>
      <c r="M570">
        <f t="shared" si="97"/>
        <v>-4.4128534468996757E-3</v>
      </c>
      <c r="N570">
        <f t="shared" si="98"/>
        <v>8.4388686458646035E-3</v>
      </c>
      <c r="AB570">
        <f t="shared" si="90"/>
        <v>-1.5435629604282517E-3</v>
      </c>
      <c r="AC570">
        <f t="shared" si="91"/>
        <v>6.575936345916418E-3</v>
      </c>
      <c r="AD570">
        <f t="shared" si="92"/>
        <v>-2.6393704629376767E-3</v>
      </c>
      <c r="AE570">
        <f t="shared" si="93"/>
        <v>2.6372986393632899E-3</v>
      </c>
      <c r="AF570">
        <f t="shared" si="94"/>
        <v>-1.7928103820366568E-3</v>
      </c>
      <c r="AG570">
        <f t="shared" si="99"/>
        <v>7.489828215718761E-3</v>
      </c>
    </row>
    <row r="571" spans="1:33" x14ac:dyDescent="0.3">
      <c r="A571" s="17">
        <v>46093</v>
      </c>
      <c r="B571">
        <v>100.9</v>
      </c>
      <c r="C571">
        <v>100.1</v>
      </c>
      <c r="D571">
        <v>110.95</v>
      </c>
      <c r="E571">
        <v>109.95</v>
      </c>
      <c r="F571">
        <v>103.75</v>
      </c>
      <c r="G571">
        <v>102.6</v>
      </c>
      <c r="H571">
        <v>100.9</v>
      </c>
      <c r="I571">
        <v>100</v>
      </c>
      <c r="K571">
        <f t="shared" si="95"/>
        <v>-3.4904049397686022E-3</v>
      </c>
      <c r="L571">
        <f t="shared" si="96"/>
        <v>-1.3633267278640533E-3</v>
      </c>
      <c r="M571">
        <f t="shared" si="97"/>
        <v>8.3191084139648246E-3</v>
      </c>
      <c r="N571">
        <f t="shared" si="98"/>
        <v>-2.4746362541911582E-3</v>
      </c>
      <c r="AB571">
        <f t="shared" si="90"/>
        <v>-3.3781597816216029E-3</v>
      </c>
      <c r="AC571">
        <f t="shared" si="91"/>
        <v>-7.3748411676946235E-5</v>
      </c>
      <c r="AD571">
        <f t="shared" si="92"/>
        <v>-8.1027677090752384E-5</v>
      </c>
      <c r="AE571">
        <f t="shared" si="93"/>
        <v>-2.1387402179509885E-3</v>
      </c>
      <c r="AF571">
        <f t="shared" si="94"/>
        <v>-2.2361162755734311E-3</v>
      </c>
      <c r="AG571">
        <f t="shared" si="99"/>
        <v>0</v>
      </c>
    </row>
    <row r="572" spans="1:33" x14ac:dyDescent="0.3">
      <c r="A572" s="17">
        <v>46094</v>
      </c>
      <c r="B572">
        <v>100.85</v>
      </c>
      <c r="C572">
        <v>100.05</v>
      </c>
      <c r="D572">
        <v>110.55</v>
      </c>
      <c r="E572">
        <v>109.55</v>
      </c>
      <c r="F572">
        <v>103.75</v>
      </c>
      <c r="G572">
        <v>102.6</v>
      </c>
      <c r="H572">
        <v>100.9</v>
      </c>
      <c r="I572">
        <v>100</v>
      </c>
      <c r="K572">
        <f t="shared" si="95"/>
        <v>-4.9962529143241278E-4</v>
      </c>
      <c r="L572">
        <f t="shared" si="96"/>
        <v>-3.6446509592946855E-3</v>
      </c>
      <c r="M572">
        <f t="shared" si="97"/>
        <v>0</v>
      </c>
      <c r="N572">
        <f t="shared" si="98"/>
        <v>0</v>
      </c>
      <c r="AB572">
        <f t="shared" si="90"/>
        <v>-7.0869189890106661E-3</v>
      </c>
      <c r="AC572">
        <f t="shared" si="91"/>
        <v>-1.4168031015740077E-2</v>
      </c>
      <c r="AD572">
        <f t="shared" si="92"/>
        <v>-4.9159440402057686E-3</v>
      </c>
      <c r="AE572">
        <f t="shared" si="93"/>
        <v>-1.147434811798807E-2</v>
      </c>
      <c r="AF572">
        <f t="shared" si="94"/>
        <v>-7.0839556863633883E-3</v>
      </c>
      <c r="AG572">
        <f t="shared" si="99"/>
        <v>-1.5882564488407063E-2</v>
      </c>
    </row>
    <row r="573" spans="1:33" x14ac:dyDescent="0.3">
      <c r="A573" s="17">
        <v>46097</v>
      </c>
      <c r="B573">
        <v>100.9</v>
      </c>
      <c r="C573">
        <v>100.1</v>
      </c>
      <c r="D573">
        <v>109.7</v>
      </c>
      <c r="E573">
        <v>108.7</v>
      </c>
      <c r="F573">
        <v>102.05</v>
      </c>
      <c r="G573">
        <v>100.9</v>
      </c>
      <c r="H573">
        <v>100.3</v>
      </c>
      <c r="I573">
        <v>99.15</v>
      </c>
      <c r="K573">
        <f t="shared" si="95"/>
        <v>4.9962529143247978E-4</v>
      </c>
      <c r="L573">
        <f t="shared" si="96"/>
        <v>-7.7892719143116953E-3</v>
      </c>
      <c r="M573">
        <f t="shared" si="97"/>
        <v>-1.6708005377105803E-2</v>
      </c>
      <c r="N573">
        <f t="shared" si="98"/>
        <v>-5.9642323916735511E-3</v>
      </c>
      <c r="AB573">
        <f t="shared" si="90"/>
        <v>-4.1786953466260339E-3</v>
      </c>
      <c r="AC573">
        <f t="shared" si="91"/>
        <v>-6.6506594919538684E-4</v>
      </c>
      <c r="AD573">
        <f t="shared" si="92"/>
        <v>-1.5664444809139447E-3</v>
      </c>
      <c r="AE573">
        <f t="shared" si="93"/>
        <v>-2.4343643021747397E-3</v>
      </c>
      <c r="AF573">
        <f t="shared" si="94"/>
        <v>-2.9307025676259544E-3</v>
      </c>
      <c r="AG573">
        <f t="shared" si="99"/>
        <v>-7.6638114190150263E-5</v>
      </c>
    </row>
    <row r="574" spans="1:33" x14ac:dyDescent="0.3">
      <c r="A574" s="17">
        <v>46098</v>
      </c>
      <c r="B574">
        <v>100.45</v>
      </c>
      <c r="C574">
        <v>99.65</v>
      </c>
      <c r="D574">
        <v>109.25</v>
      </c>
      <c r="E574">
        <v>108.25</v>
      </c>
      <c r="F574">
        <v>102.05</v>
      </c>
      <c r="G574">
        <v>100.9</v>
      </c>
      <c r="H574">
        <v>100.2</v>
      </c>
      <c r="I574">
        <v>99.3</v>
      </c>
      <c r="K574">
        <f t="shared" si="95"/>
        <v>-4.5056396623710786E-3</v>
      </c>
      <c r="L574">
        <f t="shared" si="96"/>
        <v>-4.1484272445645957E-3</v>
      </c>
      <c r="M574">
        <f t="shared" si="97"/>
        <v>0</v>
      </c>
      <c r="N574">
        <f t="shared" si="98"/>
        <v>-9.975063171254136E-4</v>
      </c>
      <c r="AB574">
        <f t="shared" si="90"/>
        <v>0</v>
      </c>
      <c r="AC574">
        <f t="shared" si="91"/>
        <v>0</v>
      </c>
      <c r="AD574">
        <f t="shared" si="92"/>
        <v>0</v>
      </c>
      <c r="AE574">
        <f t="shared" si="93"/>
        <v>0</v>
      </c>
      <c r="AF574">
        <f t="shared" si="94"/>
        <v>0</v>
      </c>
      <c r="AG574">
        <f t="shared" si="99"/>
        <v>0</v>
      </c>
    </row>
    <row r="575" spans="1:33" x14ac:dyDescent="0.3">
      <c r="A575" s="17">
        <v>46099</v>
      </c>
      <c r="B575">
        <v>100.45</v>
      </c>
      <c r="C575">
        <v>99.65</v>
      </c>
      <c r="D575">
        <v>109.25</v>
      </c>
      <c r="E575">
        <v>108.25</v>
      </c>
      <c r="F575">
        <v>102.05</v>
      </c>
      <c r="G575">
        <v>100.9</v>
      </c>
      <c r="H575">
        <v>100.2</v>
      </c>
      <c r="I575">
        <v>99.3</v>
      </c>
      <c r="K575">
        <f t="shared" si="95"/>
        <v>0</v>
      </c>
      <c r="L575">
        <f t="shared" si="96"/>
        <v>0</v>
      </c>
      <c r="M575">
        <f t="shared" si="97"/>
        <v>0</v>
      </c>
      <c r="N575">
        <f t="shared" si="98"/>
        <v>0</v>
      </c>
      <c r="AB575">
        <f t="shared" si="90"/>
        <v>0</v>
      </c>
      <c r="AC575">
        <f t="shared" si="91"/>
        <v>0</v>
      </c>
      <c r="AD575">
        <f t="shared" si="92"/>
        <v>0</v>
      </c>
      <c r="AE575">
        <f t="shared" si="93"/>
        <v>0</v>
      </c>
      <c r="AF575">
        <f t="shared" si="94"/>
        <v>0</v>
      </c>
      <c r="AG575">
        <f t="shared" si="99"/>
        <v>0</v>
      </c>
    </row>
    <row r="576" spans="1:33" x14ac:dyDescent="0.3">
      <c r="A576" s="17">
        <v>46100</v>
      </c>
      <c r="B576">
        <v>100.45</v>
      </c>
      <c r="C576">
        <v>99.65</v>
      </c>
      <c r="D576">
        <v>109.25</v>
      </c>
      <c r="E576">
        <v>108.25</v>
      </c>
      <c r="F576">
        <v>102.05</v>
      </c>
      <c r="G576">
        <v>100.9</v>
      </c>
      <c r="H576">
        <v>100.2</v>
      </c>
      <c r="I576">
        <v>99.3</v>
      </c>
      <c r="K576">
        <f t="shared" si="95"/>
        <v>0</v>
      </c>
      <c r="L576">
        <f t="shared" si="96"/>
        <v>0</v>
      </c>
      <c r="M576">
        <f t="shared" si="97"/>
        <v>0</v>
      </c>
      <c r="N576">
        <f t="shared" si="98"/>
        <v>0</v>
      </c>
      <c r="AB576">
        <f t="shared" si="90"/>
        <v>0</v>
      </c>
      <c r="AC576">
        <f t="shared" si="91"/>
        <v>0</v>
      </c>
      <c r="AD576">
        <f t="shared" si="92"/>
        <v>0</v>
      </c>
      <c r="AE576">
        <f t="shared" si="93"/>
        <v>0</v>
      </c>
      <c r="AF576">
        <f t="shared" si="94"/>
        <v>0</v>
      </c>
      <c r="AG576">
        <f t="shared" si="99"/>
        <v>0</v>
      </c>
    </row>
    <row r="577" spans="1:33" x14ac:dyDescent="0.3">
      <c r="A577" s="17">
        <v>46101</v>
      </c>
      <c r="B577">
        <v>100.45</v>
      </c>
      <c r="C577">
        <v>99.65</v>
      </c>
      <c r="D577">
        <v>109.25</v>
      </c>
      <c r="E577">
        <v>108.25</v>
      </c>
      <c r="F577">
        <v>102.05</v>
      </c>
      <c r="G577">
        <v>100.9</v>
      </c>
      <c r="H577">
        <v>100.2</v>
      </c>
      <c r="I577">
        <v>99.3</v>
      </c>
      <c r="K577">
        <f t="shared" si="95"/>
        <v>0</v>
      </c>
      <c r="L577">
        <f t="shared" si="96"/>
        <v>0</v>
      </c>
      <c r="M577">
        <f t="shared" si="97"/>
        <v>0</v>
      </c>
      <c r="N577">
        <f t="shared" si="98"/>
        <v>0</v>
      </c>
      <c r="AB577">
        <f t="shared" si="90"/>
        <v>0</v>
      </c>
      <c r="AC577">
        <f t="shared" si="91"/>
        <v>0</v>
      </c>
      <c r="AD577">
        <f t="shared" si="92"/>
        <v>0</v>
      </c>
      <c r="AE577">
        <f t="shared" si="93"/>
        <v>0</v>
      </c>
      <c r="AF577">
        <f t="shared" si="94"/>
        <v>0</v>
      </c>
      <c r="AG577">
        <f t="shared" si="99"/>
        <v>0</v>
      </c>
    </row>
    <row r="578" spans="1:33" x14ac:dyDescent="0.3">
      <c r="A578" s="17">
        <v>46104</v>
      </c>
      <c r="B578">
        <v>100.45</v>
      </c>
      <c r="C578">
        <v>99.65</v>
      </c>
      <c r="D578">
        <v>109.25</v>
      </c>
      <c r="E578">
        <v>108.25</v>
      </c>
      <c r="F578">
        <v>102.05</v>
      </c>
      <c r="G578">
        <v>100.9</v>
      </c>
      <c r="H578">
        <v>100.2</v>
      </c>
      <c r="I578">
        <v>99.3</v>
      </c>
      <c r="K578">
        <f t="shared" si="95"/>
        <v>0</v>
      </c>
      <c r="L578">
        <f t="shared" si="96"/>
        <v>0</v>
      </c>
      <c r="M578">
        <f t="shared" si="97"/>
        <v>0</v>
      </c>
      <c r="N578">
        <f t="shared" si="98"/>
        <v>0</v>
      </c>
      <c r="AB578">
        <f t="shared" si="90"/>
        <v>0</v>
      </c>
      <c r="AC578">
        <f t="shared" si="91"/>
        <v>0</v>
      </c>
      <c r="AD578">
        <f t="shared" si="92"/>
        <v>0</v>
      </c>
      <c r="AE578">
        <f t="shared" si="93"/>
        <v>0</v>
      </c>
      <c r="AF578">
        <f t="shared" si="94"/>
        <v>0</v>
      </c>
      <c r="AG578">
        <f t="shared" si="99"/>
        <v>0</v>
      </c>
    </row>
    <row r="579" spans="1:33" x14ac:dyDescent="0.3">
      <c r="A579" s="17">
        <v>46105</v>
      </c>
      <c r="B579">
        <v>100.45</v>
      </c>
      <c r="C579">
        <v>99.65</v>
      </c>
      <c r="D579">
        <v>109.25</v>
      </c>
      <c r="E579">
        <v>108.25</v>
      </c>
      <c r="F579">
        <v>102.05</v>
      </c>
      <c r="G579">
        <v>100.9</v>
      </c>
      <c r="H579">
        <v>100.2</v>
      </c>
      <c r="I579">
        <v>99.3</v>
      </c>
      <c r="K579">
        <f t="shared" si="95"/>
        <v>0</v>
      </c>
      <c r="L579">
        <f t="shared" si="96"/>
        <v>0</v>
      </c>
      <c r="M579">
        <f t="shared" si="97"/>
        <v>0</v>
      </c>
      <c r="N579">
        <f t="shared" si="98"/>
        <v>0</v>
      </c>
      <c r="AB579">
        <f t="shared" ref="AB579:AB620" si="100">K580*$S$108+L580*$T$108</f>
        <v>3.4134040040722474E-3</v>
      </c>
      <c r="AC579">
        <f t="shared" ref="AC579:AC620" si="101">K580*$S$109+M580*$T$109</f>
        <v>-6.680760643236538E-4</v>
      </c>
      <c r="AD579">
        <f t="shared" ref="AD579:AD620" si="102">K580*$S$110+N580*$T$110</f>
        <v>-3.1604673650459115E-4</v>
      </c>
      <c r="AE579">
        <f t="shared" ref="AE579:AE618" si="103">L580*$S$111+M580*$T$111</f>
        <v>2.4343643021747323E-3</v>
      </c>
      <c r="AF579">
        <f t="shared" ref="AF579:AF618" si="104">L580*$S$112+N580*$T$112</f>
        <v>2.7379993594225608E-3</v>
      </c>
      <c r="AG579">
        <f t="shared" si="99"/>
        <v>3.8328612970064243E-5</v>
      </c>
    </row>
    <row r="580" spans="1:33" x14ac:dyDescent="0.3">
      <c r="A580" s="17">
        <v>46106</v>
      </c>
      <c r="B580">
        <v>100</v>
      </c>
      <c r="C580">
        <v>99.2</v>
      </c>
      <c r="D580">
        <v>109.7</v>
      </c>
      <c r="E580">
        <v>108.7</v>
      </c>
      <c r="F580">
        <v>102.05</v>
      </c>
      <c r="G580">
        <v>100.9</v>
      </c>
      <c r="H580">
        <v>100.25</v>
      </c>
      <c r="I580">
        <v>99.35</v>
      </c>
      <c r="K580">
        <f t="shared" ref="K580:K619" si="105">LN(C580/C579)</f>
        <v>-4.5260323679766372E-3</v>
      </c>
      <c r="L580">
        <f t="shared" ref="L580:L619" si="106">LN(E580/E579)</f>
        <v>4.1484272445645835E-3</v>
      </c>
      <c r="M580">
        <f t="shared" ref="M580:M619" si="107">LN(G580/G579)</f>
        <v>0</v>
      </c>
      <c r="N580">
        <f t="shared" ref="N580:N619" si="108">LN(H580/H579)</f>
        <v>4.9887753591421166E-4</v>
      </c>
      <c r="AB580">
        <f t="shared" si="100"/>
        <v>-2.1501711105347092E-3</v>
      </c>
      <c r="AC580">
        <f t="shared" si="101"/>
        <v>-9.19626024695499E-4</v>
      </c>
      <c r="AD580">
        <f t="shared" si="102"/>
        <v>-5.1112314688545159E-3</v>
      </c>
      <c r="AE580">
        <f t="shared" si="103"/>
        <v>-1.7608790327145827E-3</v>
      </c>
      <c r="AF580">
        <f t="shared" si="104"/>
        <v>-3.7326608833867011E-3</v>
      </c>
      <c r="AG580">
        <f t="shared" ref="AG580:AG620" si="109">M581*$S$113+N581*$T$113</f>
        <v>-1.3765997693242615E-3</v>
      </c>
    </row>
    <row r="581" spans="1:33" x14ac:dyDescent="0.3">
      <c r="A581" s="17">
        <v>46107</v>
      </c>
      <c r="B581">
        <v>99.95</v>
      </c>
      <c r="C581">
        <v>99.15</v>
      </c>
      <c r="D581">
        <v>109.45</v>
      </c>
      <c r="E581">
        <v>108.45</v>
      </c>
      <c r="F581">
        <v>101.95</v>
      </c>
      <c r="G581">
        <v>100.8</v>
      </c>
      <c r="H581">
        <v>99.65</v>
      </c>
      <c r="I581">
        <v>98.75</v>
      </c>
      <c r="K581">
        <f t="shared" si="105"/>
        <v>-5.0415932502211091E-4</v>
      </c>
      <c r="L581">
        <f t="shared" si="106"/>
        <v>-2.3025568542803729E-3</v>
      </c>
      <c r="M581">
        <f t="shared" si="107"/>
        <v>-9.9157172229516282E-4</v>
      </c>
      <c r="N581">
        <f t="shared" si="108"/>
        <v>-6.003019527874757E-3</v>
      </c>
      <c r="AB581">
        <f t="shared" si="100"/>
        <v>3.6255919475816317E-3</v>
      </c>
      <c r="AC581">
        <f t="shared" si="101"/>
        <v>2.1355237326996287E-3</v>
      </c>
      <c r="AD581">
        <f t="shared" si="102"/>
        <v>2.1698071651258003E-3</v>
      </c>
      <c r="AE581">
        <f t="shared" si="103"/>
        <v>2.9793903149427287E-3</v>
      </c>
      <c r="AF581">
        <f t="shared" si="104"/>
        <v>3.0336253175405905E-3</v>
      </c>
      <c r="AG581">
        <f t="shared" si="109"/>
        <v>1.9839169162919712E-3</v>
      </c>
    </row>
    <row r="582" spans="1:33" x14ac:dyDescent="0.3">
      <c r="A582" s="17">
        <v>46108</v>
      </c>
      <c r="B582">
        <v>100.25</v>
      </c>
      <c r="C582">
        <v>99.45</v>
      </c>
      <c r="D582">
        <v>109.95</v>
      </c>
      <c r="E582">
        <v>108.85</v>
      </c>
      <c r="F582">
        <v>102.25</v>
      </c>
      <c r="G582">
        <v>101</v>
      </c>
      <c r="H582">
        <v>99.85</v>
      </c>
      <c r="I582">
        <v>98.95</v>
      </c>
      <c r="K582">
        <f t="shared" si="105"/>
        <v>3.0211503341762511E-3</v>
      </c>
      <c r="L582">
        <f t="shared" si="106"/>
        <v>3.6815504076730481E-3</v>
      </c>
      <c r="M582">
        <f t="shared" si="107"/>
        <v>1.9821612039912025E-3</v>
      </c>
      <c r="N582">
        <f t="shared" si="108"/>
        <v>2.005013203020383E-3</v>
      </c>
      <c r="AB582">
        <f t="shared" si="100"/>
        <v>2.6822608477898844E-3</v>
      </c>
      <c r="AC582">
        <f t="shared" si="101"/>
        <v>8.1904614781483105E-4</v>
      </c>
      <c r="AD582">
        <f t="shared" si="102"/>
        <v>2.4416901836712677E-3</v>
      </c>
      <c r="AE582">
        <f t="shared" si="103"/>
        <v>2.4970258271968101E-3</v>
      </c>
      <c r="AF582">
        <f t="shared" si="104"/>
        <v>3.3219076348117017E-3</v>
      </c>
      <c r="AG582">
        <f t="shared" si="109"/>
        <v>1.6388649255508305E-3</v>
      </c>
    </row>
    <row r="583" spans="1:33" x14ac:dyDescent="0.3">
      <c r="A583" s="17">
        <v>46111</v>
      </c>
      <c r="B583">
        <v>99.95</v>
      </c>
      <c r="C583">
        <v>99.15</v>
      </c>
      <c r="D583">
        <v>110.3</v>
      </c>
      <c r="E583">
        <v>109.2</v>
      </c>
      <c r="F583">
        <v>102.4</v>
      </c>
      <c r="G583">
        <v>101.15</v>
      </c>
      <c r="H583">
        <v>100.2</v>
      </c>
      <c r="I583">
        <v>98.95</v>
      </c>
      <c r="K583">
        <f t="shared" si="105"/>
        <v>-3.0211503341762112E-3</v>
      </c>
      <c r="L583">
        <f t="shared" si="106"/>
        <v>3.2102756302481894E-3</v>
      </c>
      <c r="M583">
        <f t="shared" si="107"/>
        <v>1.4840467724950225E-3</v>
      </c>
      <c r="N583">
        <f t="shared" si="108"/>
        <v>3.499128788940382E-3</v>
      </c>
      <c r="AB583">
        <f t="shared" si="100"/>
        <v>-2.9382555503799186E-3</v>
      </c>
      <c r="AC583">
        <f t="shared" si="101"/>
        <v>-8.4311832501940171E-4</v>
      </c>
      <c r="AD583">
        <f t="shared" si="102"/>
        <v>0</v>
      </c>
      <c r="AE583">
        <f t="shared" si="103"/>
        <v>-2.2925300040274638E-3</v>
      </c>
      <c r="AF583">
        <f t="shared" si="104"/>
        <v>-1.9696123623492937E-3</v>
      </c>
      <c r="AG583">
        <f t="shared" si="109"/>
        <v>-9.1312598631153059E-4</v>
      </c>
    </row>
    <row r="584" spans="1:33" x14ac:dyDescent="0.3">
      <c r="A584" s="17">
        <v>46112</v>
      </c>
      <c r="B584">
        <v>99.95</v>
      </c>
      <c r="C584">
        <v>99.15</v>
      </c>
      <c r="D584">
        <v>109.95</v>
      </c>
      <c r="E584">
        <v>108.85</v>
      </c>
      <c r="F584">
        <v>102.3</v>
      </c>
      <c r="G584">
        <v>101.05</v>
      </c>
      <c r="H584">
        <v>100.2</v>
      </c>
      <c r="I584">
        <v>98.95</v>
      </c>
      <c r="K584">
        <f t="shared" si="105"/>
        <v>0</v>
      </c>
      <c r="L584">
        <f t="shared" si="106"/>
        <v>-3.2102756302483213E-3</v>
      </c>
      <c r="M584">
        <f t="shared" si="107"/>
        <v>-9.8911976412454977E-4</v>
      </c>
      <c r="N584">
        <f t="shared" si="108"/>
        <v>0</v>
      </c>
      <c r="AB584">
        <f t="shared" si="100"/>
        <v>3.3219581627618256E-3</v>
      </c>
      <c r="AC584">
        <f t="shared" si="101"/>
        <v>2.3538157334009871E-3</v>
      </c>
      <c r="AD584">
        <f t="shared" si="102"/>
        <v>7.3438718242031331E-4</v>
      </c>
      <c r="AE584">
        <f t="shared" si="103"/>
        <v>2.700814426853436E-3</v>
      </c>
      <c r="AF584">
        <f t="shared" si="104"/>
        <v>1.9696123623492131E-3</v>
      </c>
      <c r="AG584">
        <f t="shared" si="109"/>
        <v>1.8253496740706424E-3</v>
      </c>
    </row>
    <row r="585" spans="1:33" x14ac:dyDescent="0.3">
      <c r="A585" s="17">
        <v>46113</v>
      </c>
      <c r="B585">
        <v>100.4</v>
      </c>
      <c r="C585">
        <v>99.6</v>
      </c>
      <c r="D585">
        <v>110.3</v>
      </c>
      <c r="E585">
        <v>109.2</v>
      </c>
      <c r="F585">
        <v>102.5</v>
      </c>
      <c r="G585">
        <v>101.25</v>
      </c>
      <c r="H585">
        <v>100.2</v>
      </c>
      <c r="I585">
        <v>99.3</v>
      </c>
      <c r="K585">
        <f t="shared" si="105"/>
        <v>4.5283096247473887E-3</v>
      </c>
      <c r="L585">
        <f t="shared" si="106"/>
        <v>3.2102756302481894E-3</v>
      </c>
      <c r="M585">
        <f t="shared" si="107"/>
        <v>1.9772621370186261E-3</v>
      </c>
      <c r="N585">
        <f t="shared" si="108"/>
        <v>0</v>
      </c>
      <c r="AB585">
        <f t="shared" si="100"/>
        <v>1.1744626647854237E-2</v>
      </c>
      <c r="AC585">
        <f t="shared" si="101"/>
        <v>6.020932493116503E-3</v>
      </c>
      <c r="AD585">
        <f t="shared" si="102"/>
        <v>9.9848036128985995E-4</v>
      </c>
      <c r="AE585">
        <f t="shared" si="103"/>
        <v>1.0322216725636789E-2</v>
      </c>
      <c r="AF585">
        <f t="shared" si="104"/>
        <v>8.2013244764998459E-3</v>
      </c>
      <c r="AG585">
        <f t="shared" si="109"/>
        <v>6.4370885484219577E-3</v>
      </c>
    </row>
    <row r="586" spans="1:33" x14ac:dyDescent="0.3">
      <c r="A586" s="17">
        <v>46114</v>
      </c>
      <c r="B586">
        <v>100.5</v>
      </c>
      <c r="C586">
        <v>99.7</v>
      </c>
      <c r="D586">
        <v>111.7</v>
      </c>
      <c r="E586">
        <v>110.6</v>
      </c>
      <c r="F586">
        <v>103.2</v>
      </c>
      <c r="G586">
        <v>101.95</v>
      </c>
      <c r="H586">
        <v>100.3</v>
      </c>
      <c r="I586">
        <v>99.4</v>
      </c>
      <c r="K586">
        <f t="shared" si="105"/>
        <v>1.003512377240109E-3</v>
      </c>
      <c r="L586">
        <f t="shared" si="106"/>
        <v>1.2739025777429712E-2</v>
      </c>
      <c r="M586">
        <f t="shared" si="107"/>
        <v>6.8897910338156561E-3</v>
      </c>
      <c r="N586">
        <f t="shared" si="108"/>
        <v>9.9750631712533814E-4</v>
      </c>
      <c r="AB586">
        <f t="shared" si="100"/>
        <v>0</v>
      </c>
      <c r="AC586">
        <f t="shared" si="101"/>
        <v>0</v>
      </c>
      <c r="AD586">
        <f t="shared" si="102"/>
        <v>0</v>
      </c>
      <c r="AE586">
        <f t="shared" si="103"/>
        <v>0</v>
      </c>
      <c r="AF586">
        <f t="shared" si="104"/>
        <v>0</v>
      </c>
      <c r="AG586">
        <f t="shared" si="109"/>
        <v>0</v>
      </c>
    </row>
    <row r="587" spans="1:33" x14ac:dyDescent="0.3">
      <c r="A587" s="17">
        <v>46115</v>
      </c>
      <c r="B587">
        <v>100.5</v>
      </c>
      <c r="C587">
        <v>99.7</v>
      </c>
      <c r="D587">
        <v>111.7</v>
      </c>
      <c r="E587">
        <v>110.6</v>
      </c>
      <c r="F587">
        <v>103.2</v>
      </c>
      <c r="G587">
        <v>101.95</v>
      </c>
      <c r="H587">
        <v>100.3</v>
      </c>
      <c r="I587">
        <v>99.4</v>
      </c>
      <c r="K587">
        <f t="shared" si="105"/>
        <v>0</v>
      </c>
      <c r="L587">
        <f t="shared" si="106"/>
        <v>0</v>
      </c>
      <c r="M587">
        <f t="shared" si="107"/>
        <v>0</v>
      </c>
      <c r="N587">
        <f t="shared" si="108"/>
        <v>0</v>
      </c>
      <c r="AB587">
        <f t="shared" si="100"/>
        <v>-3.1463760903747526E-3</v>
      </c>
      <c r="AC587">
        <f t="shared" si="101"/>
        <v>2.9580659779719393E-4</v>
      </c>
      <c r="AD587">
        <f t="shared" si="102"/>
        <v>7.4255841135136762E-4</v>
      </c>
      <c r="AE587">
        <f t="shared" si="103"/>
        <v>-2.1261479698324527E-3</v>
      </c>
      <c r="AF587">
        <f t="shared" si="104"/>
        <v>-2.0303435382933053E-3</v>
      </c>
      <c r="AG587">
        <f t="shared" si="109"/>
        <v>3.8290408519968133E-5</v>
      </c>
    </row>
    <row r="588" spans="1:33" x14ac:dyDescent="0.3">
      <c r="A588" s="17">
        <v>46118</v>
      </c>
      <c r="B588">
        <v>100.7</v>
      </c>
      <c r="C588">
        <v>99.9</v>
      </c>
      <c r="D588">
        <v>111.3</v>
      </c>
      <c r="E588">
        <v>110.2</v>
      </c>
      <c r="F588">
        <v>103.2</v>
      </c>
      <c r="G588">
        <v>101.95</v>
      </c>
      <c r="H588">
        <v>100.35</v>
      </c>
      <c r="I588">
        <v>99.45</v>
      </c>
      <c r="K588">
        <f t="shared" si="105"/>
        <v>2.0040086867152622E-3</v>
      </c>
      <c r="L588">
        <f t="shared" si="106"/>
        <v>-3.6231923694202838E-3</v>
      </c>
      <c r="M588">
        <f t="shared" si="107"/>
        <v>0</v>
      </c>
      <c r="N588">
        <f t="shared" si="108"/>
        <v>4.9838027445735201E-4</v>
      </c>
      <c r="AB588">
        <f t="shared" si="100"/>
        <v>4.1518069112587443E-4</v>
      </c>
      <c r="AC588">
        <f t="shared" si="101"/>
        <v>-1.2550567525308491E-3</v>
      </c>
      <c r="AD588">
        <f t="shared" si="102"/>
        <v>-4.1755451035048431E-4</v>
      </c>
      <c r="AE588">
        <f t="shared" si="103"/>
        <v>-3.4217873851323364E-4</v>
      </c>
      <c r="AF588">
        <f t="shared" si="104"/>
        <v>8.5702531650957552E-5</v>
      </c>
      <c r="AG588">
        <f t="shared" si="109"/>
        <v>-1.3975598028903302E-3</v>
      </c>
    </row>
    <row r="589" spans="1:33" x14ac:dyDescent="0.3">
      <c r="A589" s="17">
        <v>46119</v>
      </c>
      <c r="B589">
        <v>100.7</v>
      </c>
      <c r="C589">
        <v>99.9</v>
      </c>
      <c r="D589">
        <v>111.35</v>
      </c>
      <c r="E589">
        <v>110.25</v>
      </c>
      <c r="F589">
        <v>103.05</v>
      </c>
      <c r="G589">
        <v>101.8</v>
      </c>
      <c r="H589">
        <v>100.3</v>
      </c>
      <c r="I589">
        <v>99.4</v>
      </c>
      <c r="K589">
        <f t="shared" si="105"/>
        <v>0</v>
      </c>
      <c r="L589">
        <f t="shared" si="106"/>
        <v>4.5361760814123623E-4</v>
      </c>
      <c r="M589">
        <f t="shared" si="107"/>
        <v>-1.4723929040418731E-3</v>
      </c>
      <c r="N589">
        <f t="shared" si="108"/>
        <v>-4.9838027445732729E-4</v>
      </c>
      <c r="AB589">
        <f t="shared" si="100"/>
        <v>2.4447167880868536E-3</v>
      </c>
      <c r="AC589">
        <f t="shared" si="101"/>
        <v>2.8517002575203952E-3</v>
      </c>
      <c r="AD589">
        <f t="shared" si="102"/>
        <v>1.5877809506421193E-3</v>
      </c>
      <c r="AE589">
        <f t="shared" si="103"/>
        <v>3.012746745314784E-3</v>
      </c>
      <c r="AF589">
        <f t="shared" si="104"/>
        <v>2.4370656264304166E-3</v>
      </c>
      <c r="AG589">
        <f t="shared" si="109"/>
        <v>3.3215681907474274E-3</v>
      </c>
    </row>
    <row r="590" spans="1:33" x14ac:dyDescent="0.3">
      <c r="A590" s="17">
        <v>46120</v>
      </c>
      <c r="B590">
        <v>100.65</v>
      </c>
      <c r="C590">
        <v>99.85</v>
      </c>
      <c r="D590">
        <v>111.65</v>
      </c>
      <c r="E590">
        <v>110.55</v>
      </c>
      <c r="F590">
        <v>103.4</v>
      </c>
      <c r="G590">
        <v>102.15</v>
      </c>
      <c r="H590">
        <v>100.5</v>
      </c>
      <c r="I590">
        <v>99.6</v>
      </c>
      <c r="K590">
        <f t="shared" si="105"/>
        <v>-5.0062579268376746E-4</v>
      </c>
      <c r="L590">
        <f t="shared" si="106"/>
        <v>2.7173929764998861E-3</v>
      </c>
      <c r="M590">
        <f t="shared" si="107"/>
        <v>3.4322171472087096E-3</v>
      </c>
      <c r="N590">
        <f t="shared" si="108"/>
        <v>1.9920325312405766E-3</v>
      </c>
      <c r="AB590">
        <f t="shared" si="100"/>
        <v>2.480396688495192E-3</v>
      </c>
      <c r="AC590">
        <f t="shared" si="101"/>
        <v>1.2507596625695456E-3</v>
      </c>
      <c r="AD590">
        <f t="shared" si="102"/>
        <v>3.3280008313799256E-3</v>
      </c>
      <c r="AE590">
        <f t="shared" si="103"/>
        <v>2.1965747241776425E-3</v>
      </c>
      <c r="AF590">
        <f t="shared" si="104"/>
        <v>3.1978153242192609E-3</v>
      </c>
      <c r="AG590">
        <f t="shared" si="109"/>
        <v>1.6597984349038595E-3</v>
      </c>
    </row>
    <row r="591" spans="1:33" x14ac:dyDescent="0.3">
      <c r="A591" s="17">
        <v>46121</v>
      </c>
      <c r="B591">
        <v>100.65</v>
      </c>
      <c r="C591">
        <v>99.85</v>
      </c>
      <c r="D591">
        <v>111.95</v>
      </c>
      <c r="E591">
        <v>110.85</v>
      </c>
      <c r="F591">
        <v>103.55</v>
      </c>
      <c r="G591">
        <v>102.3</v>
      </c>
      <c r="H591">
        <v>100.9</v>
      </c>
      <c r="I591">
        <v>100</v>
      </c>
      <c r="K591">
        <f t="shared" si="105"/>
        <v>0</v>
      </c>
      <c r="L591">
        <f t="shared" si="106"/>
        <v>2.710028758865158E-3</v>
      </c>
      <c r="M591">
        <f t="shared" si="107"/>
        <v>1.4673516939497444E-3</v>
      </c>
      <c r="N591">
        <f t="shared" si="108"/>
        <v>3.9721998604329454E-3</v>
      </c>
      <c r="AB591">
        <f t="shared" si="100"/>
        <v>-2.0104438953649534E-4</v>
      </c>
      <c r="AC591">
        <f t="shared" si="101"/>
        <v>4.1104157980339714E-3</v>
      </c>
      <c r="AD591">
        <f t="shared" si="102"/>
        <v>1.6501438702517458E-3</v>
      </c>
      <c r="AE591">
        <f t="shared" si="103"/>
        <v>1.5487892321307411E-3</v>
      </c>
      <c r="AF591">
        <f t="shared" si="104"/>
        <v>2.9729907786479588E-4</v>
      </c>
      <c r="AG591">
        <f t="shared" si="109"/>
        <v>4.1660927812046068E-3</v>
      </c>
    </row>
    <row r="592" spans="1:33" x14ac:dyDescent="0.3">
      <c r="A592" s="17">
        <v>46122</v>
      </c>
      <c r="B592">
        <v>100.9</v>
      </c>
      <c r="C592">
        <v>100.1</v>
      </c>
      <c r="D592">
        <v>111.9</v>
      </c>
      <c r="E592">
        <v>110.8</v>
      </c>
      <c r="F592">
        <v>104</v>
      </c>
      <c r="G592">
        <v>102.75</v>
      </c>
      <c r="H592">
        <v>101.05</v>
      </c>
      <c r="I592">
        <v>100.15</v>
      </c>
      <c r="K592">
        <f t="shared" si="105"/>
        <v>2.5006264593506813E-3</v>
      </c>
      <c r="L592">
        <f t="shared" si="106"/>
        <v>-4.5116174913695668E-4</v>
      </c>
      <c r="M592">
        <f t="shared" si="107"/>
        <v>4.3891804187631868E-3</v>
      </c>
      <c r="N592">
        <f t="shared" si="108"/>
        <v>1.4855164900666093E-3</v>
      </c>
      <c r="AB592">
        <f t="shared" si="100"/>
        <v>-5.8258773166415003E-4</v>
      </c>
      <c r="AC592">
        <f t="shared" si="101"/>
        <v>2.1898962719679991E-3</v>
      </c>
      <c r="AD592">
        <f t="shared" si="102"/>
        <v>-3.2435389276506488E-4</v>
      </c>
      <c r="AE592">
        <f t="shared" si="103"/>
        <v>9.397498318828002E-4</v>
      </c>
      <c r="AF592">
        <f t="shared" si="104"/>
        <v>-2.7692788732640175E-4</v>
      </c>
      <c r="AG592">
        <f t="shared" si="109"/>
        <v>2.6914604979511717E-3</v>
      </c>
    </row>
    <row r="593" spans="1:33" x14ac:dyDescent="0.3">
      <c r="A593" s="17">
        <v>46125</v>
      </c>
      <c r="B593">
        <v>100.7</v>
      </c>
      <c r="C593">
        <v>99.9</v>
      </c>
      <c r="D593">
        <v>111.85</v>
      </c>
      <c r="E593">
        <v>110.75</v>
      </c>
      <c r="F593">
        <v>104.3</v>
      </c>
      <c r="G593">
        <v>103.05</v>
      </c>
      <c r="H593">
        <v>101.05</v>
      </c>
      <c r="I593">
        <v>100.15</v>
      </c>
      <c r="K593">
        <f t="shared" si="105"/>
        <v>-2.000000666666999E-3</v>
      </c>
      <c r="L593">
        <f t="shared" si="106"/>
        <v>-4.5136538793842185E-4</v>
      </c>
      <c r="M593">
        <f t="shared" si="107"/>
        <v>2.9154539601239137E-3</v>
      </c>
      <c r="N593">
        <f t="shared" si="108"/>
        <v>0</v>
      </c>
      <c r="AB593">
        <f t="shared" si="100"/>
        <v>1.196378832994895E-3</v>
      </c>
      <c r="AC593">
        <f t="shared" si="101"/>
        <v>2.8162727691372035E-3</v>
      </c>
      <c r="AD593">
        <f t="shared" si="102"/>
        <v>1.5754059730534781E-3</v>
      </c>
      <c r="AE593">
        <f t="shared" si="103"/>
        <v>2.195210791141068E-3</v>
      </c>
      <c r="AF593">
        <f t="shared" si="104"/>
        <v>1.5945540917052768E-3</v>
      </c>
      <c r="AG593">
        <f t="shared" si="109"/>
        <v>3.2820642039673104E-3</v>
      </c>
    </row>
    <row r="594" spans="1:33" x14ac:dyDescent="0.3">
      <c r="A594" s="17">
        <v>46126</v>
      </c>
      <c r="B594">
        <v>100.65</v>
      </c>
      <c r="C594">
        <v>99.85</v>
      </c>
      <c r="D594">
        <v>112</v>
      </c>
      <c r="E594">
        <v>110.9</v>
      </c>
      <c r="F594">
        <v>104.65</v>
      </c>
      <c r="G594">
        <v>103.4</v>
      </c>
      <c r="H594">
        <v>101.25</v>
      </c>
      <c r="I594">
        <v>100.35</v>
      </c>
      <c r="K594">
        <f t="shared" si="105"/>
        <v>-5.0062579268376746E-4</v>
      </c>
      <c r="L594">
        <f t="shared" si="106"/>
        <v>1.3534854310763558E-3</v>
      </c>
      <c r="M594">
        <f t="shared" si="107"/>
        <v>3.390654737860886E-3</v>
      </c>
      <c r="N594">
        <f t="shared" si="108"/>
        <v>1.9772621370186261E-3</v>
      </c>
      <c r="AB594">
        <f t="shared" si="100"/>
        <v>8.4819008190930426E-5</v>
      </c>
      <c r="AC594">
        <f t="shared" si="101"/>
        <v>-1.9156506800100642E-3</v>
      </c>
      <c r="AD594">
        <f t="shared" si="102"/>
        <v>-3.5696184072870354E-3</v>
      </c>
      <c r="AE594">
        <f t="shared" si="103"/>
        <v>-1.0002033503935502E-3</v>
      </c>
      <c r="AF594">
        <f t="shared" si="104"/>
        <v>-1.7214561917232869E-3</v>
      </c>
      <c r="AG594">
        <f t="shared" si="109"/>
        <v>-2.5769655765774755E-3</v>
      </c>
    </row>
    <row r="595" spans="1:33" x14ac:dyDescent="0.3">
      <c r="A595" s="17">
        <v>46127</v>
      </c>
      <c r="B595">
        <v>100.75</v>
      </c>
      <c r="C595">
        <v>99.95</v>
      </c>
      <c r="D595">
        <v>112</v>
      </c>
      <c r="E595">
        <v>110.9</v>
      </c>
      <c r="F595">
        <v>104.65</v>
      </c>
      <c r="G595">
        <v>103.15</v>
      </c>
      <c r="H595">
        <v>100.8</v>
      </c>
      <c r="I595">
        <v>99.9</v>
      </c>
      <c r="K595">
        <f t="shared" si="105"/>
        <v>1.0010010845850261E-3</v>
      </c>
      <c r="L595">
        <f t="shared" si="106"/>
        <v>0</v>
      </c>
      <c r="M595">
        <f t="shared" si="107"/>
        <v>-2.4207225570679531E-3</v>
      </c>
      <c r="N595">
        <f t="shared" si="108"/>
        <v>-4.4543503493803087E-3</v>
      </c>
      <c r="AB595">
        <f t="shared" si="100"/>
        <v>2.1167680782837686E-4</v>
      </c>
      <c r="AC595">
        <f t="shared" si="101"/>
        <v>4.4905711499164018E-3</v>
      </c>
      <c r="AD595">
        <f t="shared" si="102"/>
        <v>-8.4255055973374933E-4</v>
      </c>
      <c r="AE595">
        <f t="shared" si="103"/>
        <v>1.9979913317368213E-3</v>
      </c>
      <c r="AF595">
        <f t="shared" si="104"/>
        <v>-5.7552695080819501E-4</v>
      </c>
      <c r="AG595">
        <f t="shared" si="109"/>
        <v>4.3496666342939016E-3</v>
      </c>
    </row>
    <row r="596" spans="1:33" x14ac:dyDescent="0.3">
      <c r="A596" s="17">
        <v>46128</v>
      </c>
      <c r="B596">
        <v>101</v>
      </c>
      <c r="C596">
        <v>100.2</v>
      </c>
      <c r="D596">
        <v>112</v>
      </c>
      <c r="E596">
        <v>110.9</v>
      </c>
      <c r="F596">
        <v>105.15</v>
      </c>
      <c r="G596">
        <v>103.65</v>
      </c>
      <c r="H596">
        <v>100.65</v>
      </c>
      <c r="I596">
        <v>99.75</v>
      </c>
      <c r="K596">
        <f t="shared" si="105"/>
        <v>2.4981277043552878E-3</v>
      </c>
      <c r="L596">
        <f t="shared" si="106"/>
        <v>0</v>
      </c>
      <c r="M596">
        <f t="shared" si="107"/>
        <v>4.8355993645277356E-3</v>
      </c>
      <c r="N596">
        <f t="shared" si="108"/>
        <v>-1.4892035514676343E-3</v>
      </c>
      <c r="AB596">
        <f t="shared" si="100"/>
        <v>1.2371245198104749E-3</v>
      </c>
      <c r="AC596">
        <f t="shared" si="101"/>
        <v>0</v>
      </c>
      <c r="AD596">
        <f t="shared" si="102"/>
        <v>3.737507050198173E-3</v>
      </c>
      <c r="AE596">
        <f t="shared" si="103"/>
        <v>7.9317362522428716E-4</v>
      </c>
      <c r="AF596">
        <f t="shared" si="104"/>
        <v>2.5533025158062826E-3</v>
      </c>
      <c r="AG596">
        <f t="shared" si="109"/>
        <v>3.4273530341755529E-4</v>
      </c>
    </row>
    <row r="597" spans="1:33" x14ac:dyDescent="0.3">
      <c r="A597" s="17">
        <v>46129</v>
      </c>
      <c r="B597">
        <v>101</v>
      </c>
      <c r="C597">
        <v>100.2</v>
      </c>
      <c r="D597">
        <v>112.15</v>
      </c>
      <c r="E597">
        <v>111.05</v>
      </c>
      <c r="F597">
        <v>105.15</v>
      </c>
      <c r="G597">
        <v>103.65</v>
      </c>
      <c r="H597">
        <v>101.1</v>
      </c>
      <c r="I597">
        <v>100.2</v>
      </c>
      <c r="K597">
        <f t="shared" si="105"/>
        <v>0</v>
      </c>
      <c r="L597">
        <f t="shared" si="106"/>
        <v>1.3516559841150321E-3</v>
      </c>
      <c r="M597">
        <f t="shared" si="107"/>
        <v>0</v>
      </c>
      <c r="N597">
        <f t="shared" si="108"/>
        <v>4.4609739406250449E-3</v>
      </c>
      <c r="AB597">
        <f t="shared" si="100"/>
        <v>0</v>
      </c>
      <c r="AC597">
        <f t="shared" si="101"/>
        <v>1.6431668839744168E-3</v>
      </c>
      <c r="AD597">
        <f t="shared" si="102"/>
        <v>8.2829775177114455E-4</v>
      </c>
      <c r="AE597">
        <f t="shared" si="103"/>
        <v>7.9649914261472341E-4</v>
      </c>
      <c r="AF597">
        <f t="shared" si="104"/>
        <v>3.8207247407024699E-4</v>
      </c>
      <c r="AG597">
        <f t="shared" si="109"/>
        <v>1.8555621556139966E-3</v>
      </c>
    </row>
    <row r="598" spans="1:33" x14ac:dyDescent="0.3">
      <c r="A598" s="17">
        <v>46132</v>
      </c>
      <c r="B598">
        <v>101</v>
      </c>
      <c r="C598">
        <v>100.2</v>
      </c>
      <c r="D598">
        <v>112.15</v>
      </c>
      <c r="E598">
        <v>111.05</v>
      </c>
      <c r="F598">
        <v>105.35</v>
      </c>
      <c r="G598">
        <v>103.85</v>
      </c>
      <c r="H598">
        <v>101.2</v>
      </c>
      <c r="I598">
        <v>100.3</v>
      </c>
      <c r="K598">
        <f t="shared" si="105"/>
        <v>0</v>
      </c>
      <c r="L598">
        <f t="shared" si="106"/>
        <v>0</v>
      </c>
      <c r="M598">
        <f t="shared" si="107"/>
        <v>1.9277114403327027E-3</v>
      </c>
      <c r="N598">
        <f t="shared" si="108"/>
        <v>9.88630826939435E-4</v>
      </c>
      <c r="AB598">
        <f t="shared" si="100"/>
        <v>-1.2794175988553502E-3</v>
      </c>
      <c r="AC598">
        <f t="shared" si="101"/>
        <v>-7.3674792096475907E-5</v>
      </c>
      <c r="AD598">
        <f t="shared" si="102"/>
        <v>-8.094679096102749E-5</v>
      </c>
      <c r="AE598">
        <f t="shared" si="103"/>
        <v>-7.9317362522425008E-4</v>
      </c>
      <c r="AF598">
        <f t="shared" si="104"/>
        <v>-8.2928652944056196E-4</v>
      </c>
      <c r="AG598">
        <f t="shared" si="109"/>
        <v>0</v>
      </c>
    </row>
    <row r="599" spans="1:33" x14ac:dyDescent="0.3">
      <c r="A599" s="17">
        <v>46133</v>
      </c>
      <c r="B599">
        <v>100.95</v>
      </c>
      <c r="C599">
        <v>100.15</v>
      </c>
      <c r="D599">
        <v>112</v>
      </c>
      <c r="E599">
        <v>110.9</v>
      </c>
      <c r="F599">
        <v>105.35</v>
      </c>
      <c r="G599">
        <v>103.85</v>
      </c>
      <c r="H599">
        <v>101.2</v>
      </c>
      <c r="I599">
        <v>100.3</v>
      </c>
      <c r="K599">
        <f t="shared" si="105"/>
        <v>-4.9912653893712184E-4</v>
      </c>
      <c r="L599">
        <f t="shared" si="106"/>
        <v>-1.3516559841149688E-3</v>
      </c>
      <c r="M599">
        <f t="shared" si="107"/>
        <v>0</v>
      </c>
      <c r="N599">
        <f t="shared" si="108"/>
        <v>0</v>
      </c>
      <c r="AB599">
        <f t="shared" si="100"/>
        <v>3.2791112452292123E-4</v>
      </c>
      <c r="AC599">
        <f t="shared" si="101"/>
        <v>1.4925454305940889E-3</v>
      </c>
      <c r="AD599">
        <f t="shared" si="102"/>
        <v>3.9672350036534243E-3</v>
      </c>
      <c r="AE599">
        <f t="shared" si="103"/>
        <v>1.0594770240641399E-3</v>
      </c>
      <c r="AF599">
        <f t="shared" si="104"/>
        <v>2.1812703040842468E-3</v>
      </c>
      <c r="AG599">
        <f t="shared" si="109"/>
        <v>2.1548407167013561E-3</v>
      </c>
    </row>
    <row r="600" spans="1:33" x14ac:dyDescent="0.3">
      <c r="A600" s="17">
        <v>46134</v>
      </c>
      <c r="B600">
        <v>100.85</v>
      </c>
      <c r="C600">
        <v>100.05</v>
      </c>
      <c r="D600">
        <v>112.05</v>
      </c>
      <c r="E600">
        <v>110.95</v>
      </c>
      <c r="F600">
        <v>105.55</v>
      </c>
      <c r="G600">
        <v>104.05</v>
      </c>
      <c r="H600">
        <v>101.7</v>
      </c>
      <c r="I600">
        <v>100.2</v>
      </c>
      <c r="K600">
        <f t="shared" si="105"/>
        <v>-9.9900108208490659E-4</v>
      </c>
      <c r="L600">
        <f t="shared" si="106"/>
        <v>4.5075502228162685E-4</v>
      </c>
      <c r="M600">
        <f t="shared" si="107"/>
        <v>1.9240025175221607E-3</v>
      </c>
      <c r="N600">
        <f t="shared" si="108"/>
        <v>4.9285462011491796E-3</v>
      </c>
      <c r="AB600">
        <f t="shared" si="100"/>
        <v>-3.7022532370801066E-4</v>
      </c>
      <c r="AC600">
        <f t="shared" si="101"/>
        <v>-7.4585987945075243E-4</v>
      </c>
      <c r="AD600">
        <f t="shared" si="102"/>
        <v>-2.8073089701300094E-3</v>
      </c>
      <c r="AE600">
        <f t="shared" si="103"/>
        <v>-6.618024964651025E-4</v>
      </c>
      <c r="AF600">
        <f t="shared" si="104"/>
        <v>-1.6088689019206439E-3</v>
      </c>
      <c r="AG600">
        <f t="shared" si="109"/>
        <v>-1.1525288508052655E-3</v>
      </c>
    </row>
    <row r="601" spans="1:33" x14ac:dyDescent="0.3">
      <c r="A601" s="17">
        <v>46135</v>
      </c>
      <c r="B601">
        <v>100.9</v>
      </c>
      <c r="C601">
        <v>100.1</v>
      </c>
      <c r="D601">
        <v>112</v>
      </c>
      <c r="E601">
        <v>110.9</v>
      </c>
      <c r="F601">
        <v>105.45</v>
      </c>
      <c r="G601">
        <v>103.95</v>
      </c>
      <c r="H601">
        <v>101.35</v>
      </c>
      <c r="I601">
        <v>99.85</v>
      </c>
      <c r="K601">
        <f t="shared" si="105"/>
        <v>4.9962529143247978E-4</v>
      </c>
      <c r="L601">
        <f t="shared" si="106"/>
        <v>-4.5075502228154044E-4</v>
      </c>
      <c r="M601">
        <f t="shared" si="107"/>
        <v>-9.6153853562144895E-4</v>
      </c>
      <c r="N601">
        <f t="shared" si="108"/>
        <v>-3.447430156505255E-3</v>
      </c>
      <c r="AB601">
        <f t="shared" si="100"/>
        <v>-1.8639933507931723E-3</v>
      </c>
      <c r="AC601">
        <f t="shared" si="101"/>
        <v>-4.8910981129275301E-3</v>
      </c>
      <c r="AD601">
        <f t="shared" si="102"/>
        <v>8.3353420062967014E-4</v>
      </c>
      <c r="AE601">
        <f t="shared" si="103"/>
        <v>-3.2511969530944272E-3</v>
      </c>
      <c r="AF601">
        <f t="shared" si="104"/>
        <v>-5.359070333524191E-4</v>
      </c>
      <c r="AG601">
        <f t="shared" si="109"/>
        <v>-4.7838412284087082E-3</v>
      </c>
    </row>
    <row r="602" spans="1:33" x14ac:dyDescent="0.3">
      <c r="A602" s="17">
        <v>46136</v>
      </c>
      <c r="B602">
        <v>100.65</v>
      </c>
      <c r="C602">
        <v>99.85</v>
      </c>
      <c r="D602">
        <v>111.8</v>
      </c>
      <c r="E602">
        <v>110.7</v>
      </c>
      <c r="F602">
        <v>104.9</v>
      </c>
      <c r="G602">
        <v>103.4</v>
      </c>
      <c r="H602">
        <v>101.5</v>
      </c>
      <c r="I602">
        <v>100</v>
      </c>
      <c r="K602">
        <f t="shared" si="105"/>
        <v>-2.5006264593506497E-3</v>
      </c>
      <c r="L602">
        <f t="shared" si="106"/>
        <v>-1.8050546417301423E-3</v>
      </c>
      <c r="M602">
        <f t="shared" si="107"/>
        <v>-5.3050522296931172E-3</v>
      </c>
      <c r="N602">
        <f t="shared" si="108"/>
        <v>1.4789255838329929E-3</v>
      </c>
      <c r="AB602">
        <f t="shared" si="100"/>
        <v>-5.432470818374494E-3</v>
      </c>
      <c r="AC602">
        <f t="shared" si="101"/>
        <v>-7.3933105928786276E-5</v>
      </c>
      <c r="AD602">
        <f t="shared" si="102"/>
        <v>-9.0707897549869611E-4</v>
      </c>
      <c r="AE602">
        <f t="shared" si="103"/>
        <v>-3.455779215165408E-3</v>
      </c>
      <c r="AF602">
        <f t="shared" si="104"/>
        <v>-3.9940622143040116E-3</v>
      </c>
      <c r="AG602">
        <f t="shared" si="109"/>
        <v>-7.5731601109714492E-5</v>
      </c>
    </row>
    <row r="603" spans="1:33" x14ac:dyDescent="0.3">
      <c r="A603" s="17">
        <v>46139</v>
      </c>
      <c r="B603">
        <v>100.6</v>
      </c>
      <c r="C603">
        <v>99.8</v>
      </c>
      <c r="D603">
        <v>111.15</v>
      </c>
      <c r="E603">
        <v>110.05</v>
      </c>
      <c r="F603">
        <v>104.9</v>
      </c>
      <c r="G603">
        <v>103.4</v>
      </c>
      <c r="H603">
        <v>101.4</v>
      </c>
      <c r="I603">
        <v>99.9</v>
      </c>
      <c r="K603">
        <f t="shared" si="105"/>
        <v>-5.0087654440590993E-4</v>
      </c>
      <c r="L603">
        <f t="shared" si="106"/>
        <v>-5.889031742120571E-3</v>
      </c>
      <c r="M603">
        <f t="shared" si="107"/>
        <v>0</v>
      </c>
      <c r="N603">
        <f t="shared" si="108"/>
        <v>-9.8570732475918824E-4</v>
      </c>
      <c r="AB603">
        <f t="shared" si="100"/>
        <v>-4.6706650970686154E-3</v>
      </c>
      <c r="AC603">
        <f t="shared" si="101"/>
        <v>-5.6025917564857025E-4</v>
      </c>
      <c r="AD603">
        <f t="shared" si="102"/>
        <v>-1.4028842683683307E-3</v>
      </c>
      <c r="AE603">
        <f t="shared" si="103"/>
        <v>-3.1399480359357826E-3</v>
      </c>
      <c r="AF603">
        <f t="shared" si="104"/>
        <v>-3.6460816318845783E-3</v>
      </c>
      <c r="AG603">
        <f t="shared" si="109"/>
        <v>-5.6025282030455151E-4</v>
      </c>
    </row>
    <row r="604" spans="1:33" x14ac:dyDescent="0.3">
      <c r="A604" s="17">
        <v>46140</v>
      </c>
      <c r="B604">
        <v>100.5</v>
      </c>
      <c r="C604">
        <v>99.7</v>
      </c>
      <c r="D604">
        <v>110.6</v>
      </c>
      <c r="E604">
        <v>109.5</v>
      </c>
      <c r="F604">
        <v>104.85</v>
      </c>
      <c r="G604">
        <v>103.35</v>
      </c>
      <c r="H604">
        <v>101.25</v>
      </c>
      <c r="I604">
        <v>99.75</v>
      </c>
      <c r="K604">
        <f t="shared" si="105"/>
        <v>-1.00250634962559E-3</v>
      </c>
      <c r="L604">
        <f t="shared" si="106"/>
        <v>-5.0102587159151493E-3</v>
      </c>
      <c r="M604">
        <f t="shared" si="107"/>
        <v>-4.8367594655158221E-4</v>
      </c>
      <c r="N604">
        <f t="shared" si="108"/>
        <v>-1.4803851704343308E-3</v>
      </c>
      <c r="AB604">
        <f t="shared" si="100"/>
        <v>-2.5960507085345877E-3</v>
      </c>
      <c r="AC604">
        <f t="shared" si="101"/>
        <v>-1.0103188620743999E-2</v>
      </c>
      <c r="AD604">
        <f t="shared" si="102"/>
        <v>-8.8966480291265398E-3</v>
      </c>
      <c r="AE604">
        <f t="shared" si="103"/>
        <v>-6.4354811004433731E-3</v>
      </c>
      <c r="AF604">
        <f t="shared" si="104"/>
        <v>-5.7119455432778554E-3</v>
      </c>
      <c r="AG604">
        <f t="shared" si="109"/>
        <v>-1.1582586032988817E-2</v>
      </c>
    </row>
    <row r="605" spans="1:33" x14ac:dyDescent="0.3">
      <c r="A605" s="17">
        <v>46141</v>
      </c>
      <c r="B605">
        <v>100.4</v>
      </c>
      <c r="C605">
        <v>99.6</v>
      </c>
      <c r="D605">
        <v>110.3</v>
      </c>
      <c r="E605">
        <v>109.2</v>
      </c>
      <c r="F605">
        <v>103.65</v>
      </c>
      <c r="G605">
        <v>102.15</v>
      </c>
      <c r="H605">
        <v>100.2</v>
      </c>
      <c r="I605">
        <v>98.7</v>
      </c>
      <c r="K605">
        <f t="shared" si="105"/>
        <v>-1.0035123772401337E-3</v>
      </c>
      <c r="L605">
        <f t="shared" si="106"/>
        <v>-2.7434859457508326E-3</v>
      </c>
      <c r="M605">
        <f t="shared" si="107"/>
        <v>-1.1678964864146038E-2</v>
      </c>
      <c r="N605">
        <f t="shared" si="108"/>
        <v>-1.0424517335884091E-2</v>
      </c>
      <c r="AB605">
        <f t="shared" si="100"/>
        <v>-1.6418001546564839E-3</v>
      </c>
      <c r="AC605">
        <f t="shared" si="101"/>
        <v>1.8312745052202692E-3</v>
      </c>
      <c r="AD605">
        <f t="shared" si="102"/>
        <v>1.0134666012053483E-4</v>
      </c>
      <c r="AE605">
        <f t="shared" si="103"/>
        <v>4.0506324293446713E-4</v>
      </c>
      <c r="AF605">
        <f t="shared" si="104"/>
        <v>-4.5784290610195375E-4</v>
      </c>
      <c r="AG605">
        <f t="shared" si="109"/>
        <v>2.7838843267714193E-3</v>
      </c>
    </row>
    <row r="606" spans="1:33" x14ac:dyDescent="0.3">
      <c r="A606" s="17">
        <v>46142</v>
      </c>
      <c r="B606">
        <v>99.95</v>
      </c>
      <c r="C606">
        <v>99.15</v>
      </c>
      <c r="D606">
        <v>110.15</v>
      </c>
      <c r="E606">
        <v>109.05</v>
      </c>
      <c r="F606">
        <v>103.95</v>
      </c>
      <c r="G606">
        <v>102.45</v>
      </c>
      <c r="H606">
        <v>100.3</v>
      </c>
      <c r="I606">
        <v>98.8</v>
      </c>
      <c r="K606">
        <f t="shared" si="105"/>
        <v>-4.5283096247473991E-3</v>
      </c>
      <c r="L606">
        <f t="shared" si="106"/>
        <v>-1.3745706631667098E-3</v>
      </c>
      <c r="M606">
        <f t="shared" si="107"/>
        <v>2.9325534212777198E-3</v>
      </c>
      <c r="N606">
        <f t="shared" si="108"/>
        <v>9.9750631712533814E-4</v>
      </c>
      <c r="AB606">
        <f t="shared" si="100"/>
        <v>0</v>
      </c>
      <c r="AC606">
        <f t="shared" si="101"/>
        <v>0</v>
      </c>
      <c r="AD606">
        <f t="shared" si="102"/>
        <v>0</v>
      </c>
      <c r="AE606">
        <f t="shared" si="103"/>
        <v>0</v>
      </c>
      <c r="AF606">
        <f t="shared" si="104"/>
        <v>0</v>
      </c>
      <c r="AG606">
        <f t="shared" si="109"/>
        <v>0</v>
      </c>
    </row>
    <row r="607" spans="1:33" x14ac:dyDescent="0.3">
      <c r="A607" s="17">
        <v>46143</v>
      </c>
      <c r="B607">
        <v>99.95</v>
      </c>
      <c r="C607">
        <v>99.15</v>
      </c>
      <c r="D607">
        <v>110.15</v>
      </c>
      <c r="E607">
        <v>109.05</v>
      </c>
      <c r="F607">
        <v>103.95</v>
      </c>
      <c r="G607">
        <v>102.45</v>
      </c>
      <c r="H607">
        <v>100.3</v>
      </c>
      <c r="I607">
        <v>98.8</v>
      </c>
      <c r="K607">
        <f t="shared" si="105"/>
        <v>0</v>
      </c>
      <c r="L607">
        <f t="shared" si="106"/>
        <v>0</v>
      </c>
      <c r="M607">
        <f t="shared" si="107"/>
        <v>0</v>
      </c>
      <c r="N607">
        <f t="shared" si="108"/>
        <v>0</v>
      </c>
      <c r="AB607">
        <f t="shared" si="100"/>
        <v>7.9816191262097359E-3</v>
      </c>
      <c r="AC607">
        <f t="shared" si="101"/>
        <v>1.3215174627055804E-3</v>
      </c>
      <c r="AD607">
        <f t="shared" si="102"/>
        <v>8.1762992568023291E-5</v>
      </c>
      <c r="AE607">
        <f t="shared" si="103"/>
        <v>5.6944811471093416E-3</v>
      </c>
      <c r="AF607">
        <f t="shared" si="104"/>
        <v>5.3217136916319388E-3</v>
      </c>
      <c r="AG607">
        <f t="shared" si="109"/>
        <v>1.3506517360181278E-3</v>
      </c>
    </row>
    <row r="608" spans="1:33" x14ac:dyDescent="0.3">
      <c r="A608" s="17">
        <v>46146</v>
      </c>
      <c r="B608">
        <v>100</v>
      </c>
      <c r="C608">
        <v>99.2</v>
      </c>
      <c r="D608">
        <v>111.1</v>
      </c>
      <c r="E608">
        <v>110</v>
      </c>
      <c r="F608">
        <v>104.1</v>
      </c>
      <c r="G608">
        <v>102.6</v>
      </c>
      <c r="H608">
        <v>100.3</v>
      </c>
      <c r="I608">
        <v>98.8</v>
      </c>
      <c r="K608">
        <f t="shared" si="105"/>
        <v>5.041593250221301E-4</v>
      </c>
      <c r="L608">
        <f t="shared" si="106"/>
        <v>8.6738731447782783E-3</v>
      </c>
      <c r="M608">
        <f t="shared" si="107"/>
        <v>1.4630580517603152E-3</v>
      </c>
      <c r="N608">
        <f t="shared" si="108"/>
        <v>0</v>
      </c>
      <c r="AB608">
        <f t="shared" si="100"/>
        <v>-2.4142150880351143E-3</v>
      </c>
      <c r="AC608">
        <f t="shared" si="101"/>
        <v>-1.156244838663863E-2</v>
      </c>
      <c r="AD608">
        <f t="shared" si="102"/>
        <v>1.6340242422499207E-4</v>
      </c>
      <c r="AE608">
        <f t="shared" si="103"/>
        <v>-7.2793990939937058E-3</v>
      </c>
      <c r="AF608">
        <f t="shared" si="104"/>
        <v>-1.6755596867124006E-3</v>
      </c>
      <c r="AG608">
        <f t="shared" si="109"/>
        <v>-1.2683599079281726E-2</v>
      </c>
    </row>
    <row r="609" spans="1:33" x14ac:dyDescent="0.3">
      <c r="A609" s="17">
        <v>46147</v>
      </c>
      <c r="B609">
        <v>100.1</v>
      </c>
      <c r="C609">
        <v>99.3</v>
      </c>
      <c r="D609">
        <v>110.8</v>
      </c>
      <c r="E609">
        <v>109.7</v>
      </c>
      <c r="F609">
        <v>102.7</v>
      </c>
      <c r="G609">
        <v>101.2</v>
      </c>
      <c r="H609">
        <v>100.3</v>
      </c>
      <c r="I609">
        <v>98.8</v>
      </c>
      <c r="K609">
        <f t="shared" si="105"/>
        <v>1.0075567602997706E-3</v>
      </c>
      <c r="L609">
        <f t="shared" si="106"/>
        <v>-2.7309985112316283E-3</v>
      </c>
      <c r="M609">
        <f t="shared" si="107"/>
        <v>-1.3739175883303933E-2</v>
      </c>
      <c r="N609">
        <f t="shared" si="108"/>
        <v>0</v>
      </c>
      <c r="AB609">
        <f t="shared" si="100"/>
        <v>-9.2009030405779775E-4</v>
      </c>
      <c r="AC609">
        <f t="shared" si="101"/>
        <v>3.2137767777031577E-3</v>
      </c>
      <c r="AD609">
        <f t="shared" si="102"/>
        <v>-5.8116513927629235E-4</v>
      </c>
      <c r="AE609">
        <f t="shared" si="103"/>
        <v>1.0947463653950124E-3</v>
      </c>
      <c r="AF609">
        <f t="shared" si="104"/>
        <v>-7.5224152692655193E-4</v>
      </c>
      <c r="AG609">
        <f t="shared" si="109"/>
        <v>3.6033926448822348E-3</v>
      </c>
    </row>
    <row r="610" spans="1:33" x14ac:dyDescent="0.3">
      <c r="A610" s="17">
        <v>46148</v>
      </c>
      <c r="B610">
        <v>100</v>
      </c>
      <c r="C610">
        <v>99.2</v>
      </c>
      <c r="D610">
        <v>110.7</v>
      </c>
      <c r="E610">
        <v>109.6</v>
      </c>
      <c r="F610">
        <v>103.1</v>
      </c>
      <c r="G610">
        <v>101.6</v>
      </c>
      <c r="H610">
        <v>100.25</v>
      </c>
      <c r="I610">
        <v>98.75</v>
      </c>
      <c r="K610">
        <f t="shared" si="105"/>
        <v>-1.0075567602997166E-3</v>
      </c>
      <c r="L610">
        <f t="shared" si="106"/>
        <v>-9.1199276726946197E-4</v>
      </c>
      <c r="M610">
        <f t="shared" si="107"/>
        <v>3.9447782910163251E-3</v>
      </c>
      <c r="N610">
        <f t="shared" si="108"/>
        <v>-4.9862878121121972E-4</v>
      </c>
      <c r="AB610">
        <f t="shared" si="100"/>
        <v>6.6137884876087804E-3</v>
      </c>
      <c r="AC610">
        <f t="shared" si="101"/>
        <v>1.601871086008534E-3</v>
      </c>
      <c r="AD610">
        <f t="shared" si="102"/>
        <v>4.5022097379225122E-3</v>
      </c>
      <c r="AE610">
        <f t="shared" si="103"/>
        <v>5.0803274217386665E-3</v>
      </c>
      <c r="AF610">
        <f t="shared" si="104"/>
        <v>6.5765519737331548E-3</v>
      </c>
      <c r="AG610">
        <f t="shared" si="109"/>
        <v>2.2358356058739233E-3</v>
      </c>
    </row>
    <row r="611" spans="1:33" x14ac:dyDescent="0.3">
      <c r="A611" s="17">
        <v>46149</v>
      </c>
      <c r="B611">
        <v>99.95</v>
      </c>
      <c r="C611">
        <v>99.15</v>
      </c>
      <c r="D611">
        <v>111.5</v>
      </c>
      <c r="E611">
        <v>110.4</v>
      </c>
      <c r="F611">
        <v>103.3</v>
      </c>
      <c r="G611">
        <v>101.8</v>
      </c>
      <c r="H611">
        <v>100.8</v>
      </c>
      <c r="I611">
        <v>99.3</v>
      </c>
      <c r="K611">
        <f t="shared" si="105"/>
        <v>-5.0415932502211091E-4</v>
      </c>
      <c r="L611">
        <f t="shared" si="106"/>
        <v>7.2727593290798781E-3</v>
      </c>
      <c r="M611">
        <f t="shared" si="107"/>
        <v>1.9665689720408473E-3</v>
      </c>
      <c r="N611">
        <f t="shared" si="108"/>
        <v>5.4712894505897546E-3</v>
      </c>
      <c r="AB611">
        <f t="shared" si="100"/>
        <v>6.0409897856433118E-3</v>
      </c>
      <c r="AC611">
        <f t="shared" si="101"/>
        <v>4.4594427544690057E-4</v>
      </c>
      <c r="AD611">
        <f t="shared" si="102"/>
        <v>-1.5905545943632163E-3</v>
      </c>
      <c r="AE611">
        <f t="shared" si="103"/>
        <v>3.7090086312678442E-3</v>
      </c>
      <c r="AF611">
        <f t="shared" si="104"/>
        <v>2.9181901431296559E-3</v>
      </c>
      <c r="AG611">
        <f t="shared" si="109"/>
        <v>-1.9078654727032883E-4</v>
      </c>
    </row>
    <row r="612" spans="1:33" x14ac:dyDescent="0.3">
      <c r="A612" s="17">
        <v>46150</v>
      </c>
      <c r="B612">
        <v>100.25</v>
      </c>
      <c r="C612">
        <v>99.45</v>
      </c>
      <c r="D612">
        <v>112.2</v>
      </c>
      <c r="E612">
        <v>111.1</v>
      </c>
      <c r="F612">
        <v>103.3</v>
      </c>
      <c r="G612">
        <v>101.8</v>
      </c>
      <c r="H612">
        <v>100.55</v>
      </c>
      <c r="I612">
        <v>99.05</v>
      </c>
      <c r="K612">
        <f t="shared" si="105"/>
        <v>3.0211503341762511E-3</v>
      </c>
      <c r="L612">
        <f t="shared" si="106"/>
        <v>6.3205628025892373E-3</v>
      </c>
      <c r="M612">
        <f t="shared" si="107"/>
        <v>0</v>
      </c>
      <c r="N612">
        <f t="shared" si="108"/>
        <v>-2.4832394186071792E-3</v>
      </c>
      <c r="AB612">
        <f t="shared" si="100"/>
        <v>0</v>
      </c>
      <c r="AC612">
        <f t="shared" si="101"/>
        <v>1.6729986864244266E-3</v>
      </c>
      <c r="AD612">
        <f t="shared" si="102"/>
        <v>1.2489290874380808E-3</v>
      </c>
      <c r="AE612">
        <f t="shared" si="103"/>
        <v>8.1095963674092711E-4</v>
      </c>
      <c r="AF612">
        <f t="shared" si="104"/>
        <v>5.7609890326927593E-4</v>
      </c>
      <c r="AG612">
        <f t="shared" si="109"/>
        <v>1.9264435763798079E-3</v>
      </c>
    </row>
    <row r="613" spans="1:33" x14ac:dyDescent="0.3">
      <c r="A613" s="17">
        <v>46153</v>
      </c>
      <c r="B613">
        <v>100.25</v>
      </c>
      <c r="C613">
        <v>99.45</v>
      </c>
      <c r="D613">
        <v>112.2</v>
      </c>
      <c r="E613">
        <v>111.1</v>
      </c>
      <c r="F613">
        <v>103.5</v>
      </c>
      <c r="G613">
        <v>102</v>
      </c>
      <c r="H613">
        <v>100.7</v>
      </c>
      <c r="I613">
        <v>99.1</v>
      </c>
      <c r="K613">
        <f t="shared" si="105"/>
        <v>0</v>
      </c>
      <c r="L613">
        <f t="shared" si="106"/>
        <v>0</v>
      </c>
      <c r="M613">
        <f t="shared" si="107"/>
        <v>1.9627091678486889E-3</v>
      </c>
      <c r="N613">
        <f t="shared" si="108"/>
        <v>1.4906835058557237E-3</v>
      </c>
      <c r="AB613">
        <f t="shared" si="100"/>
        <v>-5.3705663606037155E-3</v>
      </c>
      <c r="AC613">
        <f t="shared" si="101"/>
        <v>-1.6729986864244409E-3</v>
      </c>
      <c r="AD613">
        <f t="shared" si="102"/>
        <v>-1.2489290874379555E-3</v>
      </c>
      <c r="AE613">
        <f t="shared" si="103"/>
        <v>-4.2542602273720597E-3</v>
      </c>
      <c r="AF613">
        <f t="shared" si="104"/>
        <v>-4.176171706771487E-3</v>
      </c>
      <c r="AG613">
        <f t="shared" si="109"/>
        <v>-1.9264435763798121E-3</v>
      </c>
    </row>
    <row r="614" spans="1:33" x14ac:dyDescent="0.3">
      <c r="A614" s="17">
        <v>46154</v>
      </c>
      <c r="B614">
        <v>100.25</v>
      </c>
      <c r="C614">
        <v>99.45</v>
      </c>
      <c r="D614">
        <v>111.55</v>
      </c>
      <c r="E614">
        <v>110.45</v>
      </c>
      <c r="F614">
        <v>103.3</v>
      </c>
      <c r="G614">
        <v>101.8</v>
      </c>
      <c r="H614">
        <v>100.55</v>
      </c>
      <c r="I614">
        <v>99.05</v>
      </c>
      <c r="K614">
        <f t="shared" si="105"/>
        <v>0</v>
      </c>
      <c r="L614">
        <f t="shared" si="106"/>
        <v>-5.8677667794580545E-3</v>
      </c>
      <c r="M614">
        <f t="shared" si="107"/>
        <v>-1.9627091678487058E-3</v>
      </c>
      <c r="N614">
        <f t="shared" si="108"/>
        <v>-1.490683505855574E-3</v>
      </c>
      <c r="AB614">
        <f t="shared" si="100"/>
        <v>-5.9897254992021575E-3</v>
      </c>
      <c r="AC614">
        <f t="shared" si="101"/>
        <v>-9.1346700341453715E-3</v>
      </c>
      <c r="AD614">
        <f t="shared" si="102"/>
        <v>-3.2479044792849228E-3</v>
      </c>
      <c r="AE614">
        <f t="shared" si="103"/>
        <v>-8.0147554440897131E-3</v>
      </c>
      <c r="AF614">
        <f t="shared" si="104"/>
        <v>-5.2483524230968522E-3</v>
      </c>
      <c r="AG614">
        <f t="shared" si="109"/>
        <v>-9.839239967856149E-3</v>
      </c>
    </row>
    <row r="615" spans="1:33" x14ac:dyDescent="0.3">
      <c r="A615" s="17">
        <v>46155</v>
      </c>
      <c r="B615">
        <v>100.05</v>
      </c>
      <c r="C615">
        <v>99.25</v>
      </c>
      <c r="D615">
        <v>110.85</v>
      </c>
      <c r="E615">
        <v>109.75</v>
      </c>
      <c r="F615">
        <v>102.25</v>
      </c>
      <c r="G615">
        <v>100.75</v>
      </c>
      <c r="H615">
        <v>100.2</v>
      </c>
      <c r="I615">
        <v>98.7</v>
      </c>
      <c r="K615">
        <f t="shared" si="105"/>
        <v>-2.0130857326814042E-3</v>
      </c>
      <c r="L615">
        <f t="shared" si="106"/>
        <v>-6.3578779108455132E-3</v>
      </c>
      <c r="M615">
        <f t="shared" si="107"/>
        <v>-1.0367903289629934E-2</v>
      </c>
      <c r="N615">
        <f t="shared" si="108"/>
        <v>-3.4869275678965379E-3</v>
      </c>
      <c r="AB615">
        <f t="shared" si="100"/>
        <v>0</v>
      </c>
      <c r="AC615">
        <f t="shared" si="101"/>
        <v>0</v>
      </c>
      <c r="AD615">
        <f t="shared" si="102"/>
        <v>0</v>
      </c>
      <c r="AE615">
        <f t="shared" si="103"/>
        <v>0</v>
      </c>
      <c r="AF615">
        <f t="shared" si="104"/>
        <v>0</v>
      </c>
      <c r="AG615">
        <f t="shared" si="109"/>
        <v>0</v>
      </c>
    </row>
    <row r="616" spans="1:33" x14ac:dyDescent="0.3">
      <c r="A616" s="17">
        <v>46156</v>
      </c>
      <c r="B616">
        <v>100.05</v>
      </c>
      <c r="C616">
        <v>99.25</v>
      </c>
      <c r="D616">
        <v>110.85</v>
      </c>
      <c r="E616">
        <v>109.75</v>
      </c>
      <c r="F616">
        <v>102.25</v>
      </c>
      <c r="G616">
        <v>100.75</v>
      </c>
      <c r="H616">
        <v>100.2</v>
      </c>
      <c r="I616">
        <v>98.7</v>
      </c>
      <c r="K616">
        <f t="shared" si="105"/>
        <v>0</v>
      </c>
      <c r="L616">
        <f t="shared" si="106"/>
        <v>0</v>
      </c>
      <c r="M616">
        <f t="shared" si="107"/>
        <v>0</v>
      </c>
      <c r="N616">
        <f t="shared" si="108"/>
        <v>0</v>
      </c>
      <c r="AB616">
        <f t="shared" si="100"/>
        <v>0</v>
      </c>
      <c r="AC616">
        <f t="shared" si="101"/>
        <v>0</v>
      </c>
      <c r="AD616">
        <f t="shared" si="102"/>
        <v>0</v>
      </c>
      <c r="AE616">
        <f t="shared" si="103"/>
        <v>0</v>
      </c>
      <c r="AF616">
        <f t="shared" si="104"/>
        <v>0</v>
      </c>
      <c r="AG616">
        <f t="shared" si="109"/>
        <v>0</v>
      </c>
    </row>
    <row r="617" spans="1:33" x14ac:dyDescent="0.3">
      <c r="A617" s="17">
        <v>46157</v>
      </c>
      <c r="B617">
        <v>100.05</v>
      </c>
      <c r="C617">
        <v>99.25</v>
      </c>
      <c r="D617">
        <v>110.85</v>
      </c>
      <c r="E617">
        <v>109.75</v>
      </c>
      <c r="F617">
        <v>102.25</v>
      </c>
      <c r="G617">
        <v>100.75</v>
      </c>
      <c r="H617">
        <v>100.2</v>
      </c>
      <c r="I617">
        <v>98.7</v>
      </c>
      <c r="K617">
        <f t="shared" si="105"/>
        <v>0</v>
      </c>
      <c r="L617">
        <f t="shared" si="106"/>
        <v>0</v>
      </c>
      <c r="M617">
        <f t="shared" si="107"/>
        <v>0</v>
      </c>
      <c r="N617">
        <f t="shared" si="108"/>
        <v>0</v>
      </c>
      <c r="AB617">
        <f t="shared" si="100"/>
        <v>-1.9259433017593556E-3</v>
      </c>
      <c r="AC617">
        <f t="shared" si="101"/>
        <v>1.6656538596041858E-3</v>
      </c>
      <c r="AD617">
        <f t="shared" si="102"/>
        <v>3.4478424765987785E-4</v>
      </c>
      <c r="AE617">
        <f t="shared" si="103"/>
        <v>-4.6344444526477723E-5</v>
      </c>
      <c r="AF617">
        <f t="shared" si="104"/>
        <v>-7.335743184285321E-4</v>
      </c>
      <c r="AG617">
        <f t="shared" si="109"/>
        <v>2.3645458450651719E-3</v>
      </c>
    </row>
    <row r="618" spans="1:33" x14ac:dyDescent="0.3">
      <c r="A618" s="17">
        <v>46160</v>
      </c>
      <c r="B618">
        <v>99.75</v>
      </c>
      <c r="C618">
        <v>98.95</v>
      </c>
      <c r="D618">
        <v>110.65</v>
      </c>
      <c r="E618">
        <v>109.55</v>
      </c>
      <c r="F618">
        <v>102.5</v>
      </c>
      <c r="G618">
        <v>101</v>
      </c>
      <c r="H618">
        <v>100.3</v>
      </c>
      <c r="I618">
        <v>98.8</v>
      </c>
      <c r="K618">
        <f t="shared" si="105"/>
        <v>-3.0272475187249994E-3</v>
      </c>
      <c r="L618">
        <f t="shared" si="106"/>
        <v>-1.8239859138052454E-3</v>
      </c>
      <c r="M618">
        <f t="shared" si="107"/>
        <v>2.4783160144670005E-3</v>
      </c>
      <c r="N618">
        <f t="shared" si="108"/>
        <v>9.9750631712533814E-4</v>
      </c>
      <c r="AB618">
        <f t="shared" si="100"/>
        <v>-1.6724825446733525E-3</v>
      </c>
      <c r="AC618">
        <f t="shared" si="101"/>
        <v>5.8872931616532143E-3</v>
      </c>
      <c r="AD618">
        <f t="shared" si="102"/>
        <v>-1.6723021673397829E-3</v>
      </c>
      <c r="AE618">
        <f t="shared" si="103"/>
        <v>1.7814718492324324E-3</v>
      </c>
      <c r="AF618">
        <f t="shared" si="104"/>
        <v>-1.8925118096920941E-3</v>
      </c>
      <c r="AG618">
        <f t="shared" si="109"/>
        <v>6.2227871273582451E-3</v>
      </c>
    </row>
    <row r="619" spans="1:33" x14ac:dyDescent="0.3">
      <c r="A619" s="17">
        <v>46161</v>
      </c>
      <c r="B619">
        <v>99.75</v>
      </c>
      <c r="C619">
        <v>98.95</v>
      </c>
      <c r="D619">
        <v>110.45</v>
      </c>
      <c r="E619">
        <v>109.35</v>
      </c>
      <c r="F619">
        <v>103.2</v>
      </c>
      <c r="G619">
        <v>101.7</v>
      </c>
      <c r="H619">
        <v>100.1</v>
      </c>
      <c r="I619">
        <v>98.6</v>
      </c>
      <c r="K619">
        <f t="shared" si="105"/>
        <v>0</v>
      </c>
      <c r="L619">
        <f t="shared" si="106"/>
        <v>-1.827318918698658E-3</v>
      </c>
      <c r="M619">
        <f t="shared" si="107"/>
        <v>6.9067862132548225E-3</v>
      </c>
      <c r="N619">
        <f t="shared" si="108"/>
        <v>-1.9960086467149273E-3</v>
      </c>
      <c r="AB619">
        <f>K623*$S$108+L623*$T$108</f>
        <v>-3.1056585357414649E-3</v>
      </c>
      <c r="AC619">
        <f>K623*$S$109+M623*$T$109</f>
        <v>-1.137205899755255E-3</v>
      </c>
      <c r="AD619">
        <f>K623*$S$110+N623*$T$110</f>
        <v>-4.5235447780420648E-3</v>
      </c>
      <c r="AE619">
        <f>L623*$S$111+M623*$T$111</f>
        <v>-2.2877304129562221E-3</v>
      </c>
      <c r="AF619">
        <f>L623*$S$112+N623*$T$112</f>
        <v>-3.9021445021347658E-3</v>
      </c>
      <c r="AG619">
        <f>M623*$S$113+N623*$T$113</f>
        <v>-1.2929117215288333E-3</v>
      </c>
    </row>
    <row r="620" spans="1:33" x14ac:dyDescent="0.3">
      <c r="AB620">
        <f t="shared" si="100"/>
        <v>0</v>
      </c>
      <c r="AC620">
        <f t="shared" si="101"/>
        <v>0</v>
      </c>
      <c r="AD620">
        <f t="shared" si="102"/>
        <v>0</v>
      </c>
      <c r="AE620">
        <f>L621*$S$111+M621*$T$111</f>
        <v>0</v>
      </c>
      <c r="AF620">
        <f>L621*$S$112+N621*$T$112</f>
        <v>0</v>
      </c>
      <c r="AG620">
        <f t="shared" si="109"/>
        <v>0</v>
      </c>
    </row>
    <row r="622" spans="1:33" x14ac:dyDescent="0.3">
      <c r="AA622" t="s">
        <v>89</v>
      </c>
      <c r="AB622">
        <f>_xlfn.STDEV.S(AB3:AB620)</f>
        <v>2.6385302195842506E-3</v>
      </c>
      <c r="AC622">
        <f t="shared" ref="AC622:AG622" si="110">_xlfn.STDEV.S(AC3:AC620)</f>
        <v>3.1661927492197335E-3</v>
      </c>
      <c r="AD622">
        <f t="shared" si="110"/>
        <v>2.4574571940747447E-3</v>
      </c>
      <c r="AE622">
        <f t="shared" si="110"/>
        <v>2.6992223524323275E-3</v>
      </c>
      <c r="AF622">
        <f t="shared" si="110"/>
        <v>2.3425277954652384E-3</v>
      </c>
      <c r="AG622">
        <f t="shared" si="110"/>
        <v>3.423091124921862E-3</v>
      </c>
    </row>
    <row r="623" spans="1:33" x14ac:dyDescent="0.3">
      <c r="A623" s="17">
        <v>46162</v>
      </c>
      <c r="B623">
        <v>99.55</v>
      </c>
      <c r="C623">
        <v>98.75</v>
      </c>
      <c r="D623">
        <v>110.1</v>
      </c>
      <c r="E623">
        <v>109</v>
      </c>
      <c r="F623">
        <v>103.1</v>
      </c>
      <c r="G623">
        <v>101.6</v>
      </c>
      <c r="H623">
        <v>99.6</v>
      </c>
      <c r="I623">
        <v>98.1</v>
      </c>
      <c r="K623">
        <f>LN(C623/C619)</f>
        <v>-2.0232682673434871E-3</v>
      </c>
      <c r="L623">
        <f>LN(E623/E619)</f>
        <v>-3.2058648936330817E-3</v>
      </c>
      <c r="M623">
        <f>LN(G623/G619)</f>
        <v>-9.8376791013283799E-4</v>
      </c>
      <c r="N623">
        <f>LN(H623/H619)</f>
        <v>-5.0075217306224046E-3</v>
      </c>
      <c r="AA623" t="s">
        <v>75</v>
      </c>
      <c r="AB623">
        <f>_xlfn.SKEW.P(AB3:AB620)</f>
        <v>-2.3645706113441897E-2</v>
      </c>
      <c r="AC623">
        <f t="shared" ref="AC623:AG623" si="111">_xlfn.SKEW.P(AC3:AC620)</f>
        <v>-0.53837741538033812</v>
      </c>
      <c r="AD623">
        <f t="shared" si="111"/>
        <v>-8.7544948600598207E-2</v>
      </c>
      <c r="AE623">
        <f t="shared" si="111"/>
        <v>-0.30110984571886779</v>
      </c>
      <c r="AF623">
        <f t="shared" si="111"/>
        <v>-0.39118858509065901</v>
      </c>
      <c r="AG623">
        <f t="shared" si="111"/>
        <v>-0.54379572489030392</v>
      </c>
    </row>
    <row r="624" spans="1:33" x14ac:dyDescent="0.3">
      <c r="AA624" t="s">
        <v>90</v>
      </c>
      <c r="AB624">
        <f>KURT(AB3:AB620)</f>
        <v>3.7026720823056354</v>
      </c>
      <c r="AC624">
        <f t="shared" ref="AC624:AG624" si="112">KURT(AC3:AC620)</f>
        <v>6.4677409651438165</v>
      </c>
      <c r="AD624">
        <f t="shared" si="112"/>
        <v>11.505243623124352</v>
      </c>
      <c r="AE624">
        <f t="shared" si="112"/>
        <v>5.6676386042146927</v>
      </c>
      <c r="AF624">
        <f t="shared" si="112"/>
        <v>4.4155490700724194</v>
      </c>
      <c r="AG624">
        <f t="shared" si="112"/>
        <v>6.6176662743458774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4FFC2-F83A-47C3-9FB7-D4E8E381B231}">
  <dimension ref="A1:E5"/>
  <sheetViews>
    <sheetView workbookViewId="0">
      <selection activeCell="C32" sqref="C32"/>
    </sheetView>
  </sheetViews>
  <sheetFormatPr defaultRowHeight="14.4" x14ac:dyDescent="0.3"/>
  <sheetData>
    <row r="1" spans="1:5" x14ac:dyDescent="0.3">
      <c r="A1" s="76"/>
      <c r="B1" s="76" t="s">
        <v>52</v>
      </c>
      <c r="C1" s="76" t="s">
        <v>3</v>
      </c>
      <c r="D1" s="76" t="s">
        <v>53</v>
      </c>
      <c r="E1" s="76" t="s">
        <v>54</v>
      </c>
    </row>
    <row r="2" spans="1:5" x14ac:dyDescent="0.3">
      <c r="A2" t="s">
        <v>52</v>
      </c>
      <c r="B2">
        <v>1</v>
      </c>
    </row>
    <row r="3" spans="1:5" x14ac:dyDescent="0.3">
      <c r="A3" t="s">
        <v>3</v>
      </c>
      <c r="B3">
        <v>0.39483179174242289</v>
      </c>
      <c r="C3">
        <v>1</v>
      </c>
    </row>
    <row r="4" spans="1:5" x14ac:dyDescent="0.3">
      <c r="A4" t="s">
        <v>53</v>
      </c>
      <c r="B4">
        <v>0.37912712401584581</v>
      </c>
      <c r="C4">
        <v>0.47720889650956555</v>
      </c>
      <c r="D4">
        <v>1</v>
      </c>
    </row>
    <row r="5" spans="1:5" ht="15" thickBot="1" x14ac:dyDescent="0.35">
      <c r="A5" s="75" t="s">
        <v>54</v>
      </c>
      <c r="B5" s="75">
        <v>0.2576459040499498</v>
      </c>
      <c r="C5" s="75">
        <v>0.34139517692447013</v>
      </c>
      <c r="D5" s="75">
        <v>0.45351328755897524</v>
      </c>
      <c r="E5" s="7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6CDDD-6C9D-430E-8F3A-601EABE0050E}">
  <dimension ref="A10:G17"/>
  <sheetViews>
    <sheetView workbookViewId="0">
      <selection activeCell="J12" sqref="J12"/>
    </sheetView>
  </sheetViews>
  <sheetFormatPr defaultRowHeight="14.4" x14ac:dyDescent="0.3"/>
  <cols>
    <col min="1" max="1" width="15.44140625" bestFit="1" customWidth="1"/>
    <col min="2" max="2" width="8.6640625" bestFit="1" customWidth="1"/>
    <col min="3" max="3" width="10.6640625" bestFit="1" customWidth="1"/>
    <col min="4" max="5" width="12" bestFit="1" customWidth="1"/>
    <col min="7" max="7" width="20.6640625" bestFit="1" customWidth="1"/>
  </cols>
  <sheetData>
    <row r="10" spans="1:7" x14ac:dyDescent="0.3">
      <c r="A10" t="s">
        <v>91</v>
      </c>
      <c r="C10">
        <f>COUNT(VaR!AB3:AB620)</f>
        <v>618</v>
      </c>
      <c r="D10" t="s">
        <v>92</v>
      </c>
      <c r="E10" s="3">
        <v>0.05</v>
      </c>
    </row>
    <row r="11" spans="1:7" x14ac:dyDescent="0.3">
      <c r="A11" s="61" t="s">
        <v>0</v>
      </c>
      <c r="B11" s="61" t="s">
        <v>91</v>
      </c>
      <c r="C11" s="61" t="s">
        <v>93</v>
      </c>
      <c r="D11" s="61" t="s">
        <v>94</v>
      </c>
      <c r="E11" s="61" t="s">
        <v>95</v>
      </c>
      <c r="F11" s="61" t="s">
        <v>96</v>
      </c>
      <c r="G11" s="61" t="s">
        <v>97</v>
      </c>
    </row>
    <row r="12" spans="1:7" x14ac:dyDescent="0.3">
      <c r="A12" s="59" t="s">
        <v>55</v>
      </c>
      <c r="B12">
        <v>618</v>
      </c>
      <c r="C12">
        <f>COUNTIF(VaR!AB3:AB620, "&gt;" &amp; VaR!S117)</f>
        <v>29</v>
      </c>
      <c r="D12">
        <f xml:space="preserve"> ((1 - $E$10)^($C$10 - C12)) * ($E$10^C12)</f>
        <v>1.4103718815047416E-51</v>
      </c>
      <c r="E12">
        <f>((1 - (C12 / $C$10))^($C$10 - C12)) * ((C12 / $C$10)^C12)</f>
        <v>1.5016646722196799E-51</v>
      </c>
      <c r="F12">
        <f>-2*LN(D12/E12)</f>
        <v>0.12544171774477664</v>
      </c>
      <c r="G12" t="str">
        <f>IF( F12&lt; 3.84, "Model Akurat (Diterima)", "Model Gagal (Ditolak)")</f>
        <v>Model Akurat (Diterima)</v>
      </c>
    </row>
    <row r="13" spans="1:7" x14ac:dyDescent="0.3">
      <c r="A13" s="59" t="s">
        <v>56</v>
      </c>
      <c r="B13">
        <v>618</v>
      </c>
      <c r="C13">
        <f>COUNTIF(VaR!AC3:AC620, "&gt;" &amp; VaR!S118)</f>
        <v>28</v>
      </c>
      <c r="D13">
        <f xml:space="preserve"> ((1 - $E$10)^($C$10 - C13)) * ($E$10^C13)</f>
        <v>2.6797065748590092E-50</v>
      </c>
      <c r="E13">
        <f t="shared" ref="E13:E17" si="0">((1 - (C13 / $C$10))^($C$10 - C13)) * ((C13 / $C$10)^C13)</f>
        <v>3.106233803289761E-50</v>
      </c>
      <c r="F13">
        <f t="shared" ref="F13:F17" si="1">-2*LN(D13/E13)</f>
        <v>0.29540739016163048</v>
      </c>
      <c r="G13" t="str">
        <f t="shared" ref="G13:G17" si="2">IF( F13&lt; 3.84, "Model Akurat (Diterima)", "Model Gagal (Ditolak)")</f>
        <v>Model Akurat (Diterima)</v>
      </c>
    </row>
    <row r="14" spans="1:7" x14ac:dyDescent="0.3">
      <c r="A14" s="59" t="s">
        <v>57</v>
      </c>
      <c r="B14">
        <v>618</v>
      </c>
      <c r="C14">
        <f>COUNTIF(VaR!AD3:AD620, "&gt;" &amp; VaR!S119)</f>
        <v>26</v>
      </c>
      <c r="D14">
        <f t="shared" ref="D14:D17" si="3" xml:space="preserve"> ((1 - $E$10)^($C$10 - C14)) * ($E$10^C14)</f>
        <v>9.673740735241017E-48</v>
      </c>
      <c r="E14">
        <f t="shared" si="0"/>
        <v>1.4889489997276748E-47</v>
      </c>
      <c r="F14">
        <f t="shared" si="1"/>
        <v>0.86248104174128171</v>
      </c>
      <c r="G14" t="str">
        <f t="shared" si="2"/>
        <v>Model Akurat (Diterima)</v>
      </c>
    </row>
    <row r="15" spans="1:7" x14ac:dyDescent="0.3">
      <c r="A15" s="59" t="s">
        <v>58</v>
      </c>
      <c r="B15">
        <v>618</v>
      </c>
      <c r="C15">
        <f>COUNTIF(VaR!AE3:AE620, "&gt;" &amp; VaR!S120)</f>
        <v>24</v>
      </c>
      <c r="D15">
        <f t="shared" si="3"/>
        <v>3.492220405422007E-45</v>
      </c>
      <c r="E15">
        <f t="shared" si="0"/>
        <v>8.3818621686825228E-45</v>
      </c>
      <c r="F15">
        <f t="shared" si="1"/>
        <v>1.7510647048193888</v>
      </c>
      <c r="G15" t="str">
        <f t="shared" si="2"/>
        <v>Model Akurat (Diterima)</v>
      </c>
    </row>
    <row r="16" spans="1:7" x14ac:dyDescent="0.3">
      <c r="A16" s="59" t="s">
        <v>59</v>
      </c>
      <c r="B16">
        <v>618</v>
      </c>
      <c r="C16">
        <f>COUNTIF(VaR!AF3:AF620, "&gt;" &amp; VaR!S121)</f>
        <v>23</v>
      </c>
      <c r="D16">
        <f t="shared" si="3"/>
        <v>6.6352187703018119E-44</v>
      </c>
      <c r="E16">
        <f t="shared" si="0"/>
        <v>2.1205925533175591E-43</v>
      </c>
      <c r="F16">
        <f t="shared" si="1"/>
        <v>2.3237780190031665</v>
      </c>
      <c r="G16" t="str">
        <f t="shared" si="2"/>
        <v>Model Akurat (Diterima)</v>
      </c>
    </row>
    <row r="17" spans="1:7" x14ac:dyDescent="0.3">
      <c r="A17" s="59" t="s">
        <v>60</v>
      </c>
      <c r="B17">
        <v>618</v>
      </c>
      <c r="C17">
        <f>COUNTIF(VaR!AG3:AG620, "&gt;" &amp; VaR!S122)</f>
        <v>25</v>
      </c>
      <c r="D17">
        <f t="shared" si="3"/>
        <v>1.8380107396957929E-46</v>
      </c>
      <c r="E17">
        <f t="shared" si="0"/>
        <v>3.459838100560648E-46</v>
      </c>
      <c r="F17">
        <f t="shared" si="1"/>
        <v>1.2650758583410595</v>
      </c>
      <c r="G17" t="str">
        <f t="shared" si="2"/>
        <v>Model Akurat (Diterima)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79EFB-2D09-4166-8130-FFBEE89F84A6}">
  <dimension ref="A1:V127"/>
  <sheetViews>
    <sheetView tabSelected="1" topLeftCell="A11" zoomScale="107" workbookViewId="0">
      <selection activeCell="C38" sqref="C38"/>
    </sheetView>
  </sheetViews>
  <sheetFormatPr defaultRowHeight="15" customHeight="1" x14ac:dyDescent="0.3"/>
  <cols>
    <col min="1" max="1" width="17.5546875" customWidth="1"/>
    <col min="2" max="3" width="20.44140625" bestFit="1" customWidth="1"/>
    <col min="4" max="4" width="17.88671875" bestFit="1" customWidth="1"/>
    <col min="5" max="5" width="18.33203125" bestFit="1" customWidth="1"/>
    <col min="6" max="6" width="11.5546875" bestFit="1" customWidth="1"/>
    <col min="7" max="7" width="35.44140625" customWidth="1"/>
    <col min="8" max="8" width="17.109375" bestFit="1" customWidth="1"/>
    <col min="9" max="9" width="15.44140625" bestFit="1" customWidth="1"/>
    <col min="10" max="10" width="16.5546875" bestFit="1" customWidth="1"/>
    <col min="13" max="13" width="19.5546875" bestFit="1" customWidth="1"/>
    <col min="14" max="14" width="17" bestFit="1" customWidth="1"/>
    <col min="15" max="15" width="16.5546875" bestFit="1" customWidth="1"/>
    <col min="16" max="16" width="17" bestFit="1" customWidth="1"/>
    <col min="19" max="19" width="19" bestFit="1" customWidth="1"/>
    <col min="20" max="20" width="17" bestFit="1" customWidth="1"/>
    <col min="21" max="21" width="16.5546875" bestFit="1" customWidth="1"/>
    <col min="22" max="22" width="17" bestFit="1" customWidth="1"/>
  </cols>
  <sheetData>
    <row r="1" spans="1:20" ht="14.4" x14ac:dyDescent="0.3">
      <c r="A1" s="48" t="s">
        <v>0</v>
      </c>
      <c r="B1" s="48" t="s">
        <v>98</v>
      </c>
      <c r="C1" s="48" t="s">
        <v>3</v>
      </c>
      <c r="D1" s="49" t="s">
        <v>53</v>
      </c>
      <c r="E1" s="50" t="s">
        <v>54</v>
      </c>
    </row>
    <row r="2" spans="1:20" ht="14.4" x14ac:dyDescent="0.3">
      <c r="A2" s="34" t="s">
        <v>4</v>
      </c>
      <c r="B2" s="35">
        <v>6.6250000000000003E-2</v>
      </c>
      <c r="C2" s="35">
        <v>8.2500000000000004E-2</v>
      </c>
      <c r="D2" s="36">
        <v>7.1249999999999994E-2</v>
      </c>
      <c r="E2" s="37">
        <v>7.3749999999999996E-2</v>
      </c>
    </row>
    <row r="3" spans="1:20" ht="14.4" x14ac:dyDescent="0.3">
      <c r="A3" s="34" t="s">
        <v>5</v>
      </c>
      <c r="B3" s="34">
        <v>2</v>
      </c>
      <c r="C3" s="34">
        <v>2</v>
      </c>
      <c r="D3" s="38">
        <v>2</v>
      </c>
      <c r="E3" s="39">
        <v>2</v>
      </c>
    </row>
    <row r="4" spans="1:20" ht="14.4" x14ac:dyDescent="0.3">
      <c r="A4" s="34" t="s">
        <v>6</v>
      </c>
      <c r="B4" s="40">
        <v>7.1099999999999997E-2</v>
      </c>
      <c r="C4" s="40">
        <v>6.9699999999999998E-2</v>
      </c>
      <c r="D4" s="41">
        <v>6.9699999999999998E-2</v>
      </c>
      <c r="E4" s="37">
        <v>7.0599999999999996E-2</v>
      </c>
    </row>
    <row r="5" spans="1:20" ht="14.4" x14ac:dyDescent="0.3">
      <c r="A5" s="34" t="s">
        <v>7</v>
      </c>
      <c r="B5" s="40">
        <v>0.995</v>
      </c>
      <c r="C5" s="40">
        <v>1.091</v>
      </c>
      <c r="D5" s="41">
        <v>1.0209999999999999</v>
      </c>
      <c r="E5" s="37">
        <v>0.97750000000000004</v>
      </c>
    </row>
    <row r="6" spans="1:20" ht="14.4" x14ac:dyDescent="0.3">
      <c r="A6" s="34" t="s">
        <v>8</v>
      </c>
      <c r="B6" s="42">
        <v>45162</v>
      </c>
      <c r="C6" s="42">
        <v>42194</v>
      </c>
      <c r="D6" s="43">
        <v>44792</v>
      </c>
      <c r="E6" s="44">
        <v>45296</v>
      </c>
    </row>
    <row r="7" spans="1:20" ht="14.4" x14ac:dyDescent="0.3">
      <c r="A7" s="34" t="s">
        <v>9</v>
      </c>
      <c r="B7" s="42">
        <v>48990</v>
      </c>
      <c r="C7" s="42">
        <v>49810</v>
      </c>
      <c r="D7" s="43">
        <v>52397</v>
      </c>
      <c r="E7" s="44">
        <v>56445</v>
      </c>
    </row>
    <row r="8" spans="1:20" ht="14.4" x14ac:dyDescent="0.3">
      <c r="A8" s="34" t="s">
        <v>10</v>
      </c>
      <c r="B8" s="45">
        <v>1000000</v>
      </c>
      <c r="C8" s="45">
        <v>1000000</v>
      </c>
      <c r="D8" s="46">
        <v>1000000</v>
      </c>
      <c r="E8" s="47">
        <v>1000000</v>
      </c>
    </row>
    <row r="9" spans="1:20" ht="14.4" x14ac:dyDescent="0.3">
      <c r="A9" s="34" t="s">
        <v>11</v>
      </c>
      <c r="B9" s="34">
        <v>7.7</v>
      </c>
      <c r="C9" s="34">
        <v>10</v>
      </c>
      <c r="D9" s="38">
        <v>17.100000000000001</v>
      </c>
      <c r="E9" s="39">
        <v>28.2</v>
      </c>
    </row>
    <row r="10" spans="1:20" ht="14.4" x14ac:dyDescent="0.3">
      <c r="A10" s="34" t="s">
        <v>12</v>
      </c>
      <c r="B10" s="45">
        <f>B8*B5</f>
        <v>995000</v>
      </c>
      <c r="C10" s="45">
        <f>C8*C5</f>
        <v>1091000</v>
      </c>
      <c r="D10" s="46">
        <v>1021000</v>
      </c>
      <c r="E10" s="47">
        <v>977500</v>
      </c>
    </row>
    <row r="11" spans="1:20" ht="14.4" x14ac:dyDescent="0.3">
      <c r="A11" s="34" t="s">
        <v>13</v>
      </c>
      <c r="B11" s="40">
        <v>6.7100000000000007E-2</v>
      </c>
      <c r="C11" s="40">
        <v>6.7900000000000002E-2</v>
      </c>
      <c r="D11" s="41">
        <v>6.9099999999999995E-2</v>
      </c>
      <c r="E11" s="37">
        <v>6.9199999999999998E-2</v>
      </c>
    </row>
    <row r="13" spans="1:20" ht="14.4" x14ac:dyDescent="0.3"/>
    <row r="14" spans="1:20" ht="14.4" customHeight="1" x14ac:dyDescent="0.3">
      <c r="A14" s="86" t="s">
        <v>103</v>
      </c>
      <c r="B14" s="86"/>
      <c r="G14" s="87" t="s">
        <v>3</v>
      </c>
      <c r="H14" s="87"/>
      <c r="M14" s="88" t="s">
        <v>53</v>
      </c>
      <c r="N14" s="89"/>
      <c r="S14" s="87" t="s">
        <v>54</v>
      </c>
      <c r="T14" s="87"/>
    </row>
    <row r="15" spans="1:20" ht="14.4" x14ac:dyDescent="0.3">
      <c r="A15" s="52" t="s">
        <v>14</v>
      </c>
      <c r="B15" s="11">
        <f>B2*B8</f>
        <v>66250</v>
      </c>
      <c r="G15" s="6" t="s">
        <v>14</v>
      </c>
      <c r="H15" s="13">
        <f>C8*C2</f>
        <v>82500</v>
      </c>
      <c r="M15" s="6" t="s">
        <v>14</v>
      </c>
      <c r="N15" s="13">
        <f>D2*D8</f>
        <v>71250</v>
      </c>
      <c r="S15" s="6" t="s">
        <v>14</v>
      </c>
      <c r="T15" s="13">
        <f>E2*E8</f>
        <v>73750</v>
      </c>
    </row>
    <row r="16" spans="1:20" ht="14.4" x14ac:dyDescent="0.3">
      <c r="A16" s="52" t="s">
        <v>15</v>
      </c>
      <c r="B16" s="11">
        <f>B15/2</f>
        <v>33125</v>
      </c>
      <c r="G16" s="6" t="s">
        <v>15</v>
      </c>
      <c r="H16" s="13">
        <f>H15/2</f>
        <v>41250</v>
      </c>
      <c r="M16" s="6" t="s">
        <v>15</v>
      </c>
      <c r="N16" s="13">
        <f>N15/2</f>
        <v>35625</v>
      </c>
      <c r="S16" s="6" t="s">
        <v>15</v>
      </c>
      <c r="T16" s="13">
        <f>T15/2</f>
        <v>36875</v>
      </c>
    </row>
    <row r="17" spans="1:22" ht="14.4" x14ac:dyDescent="0.3">
      <c r="A17" s="52" t="s">
        <v>16</v>
      </c>
      <c r="B17" s="8">
        <f>B11/2</f>
        <v>3.3550000000000003E-2</v>
      </c>
      <c r="G17" s="6" t="s">
        <v>16</v>
      </c>
      <c r="H17" s="8">
        <f>C11/2</f>
        <v>3.3950000000000001E-2</v>
      </c>
      <c r="M17" s="6" t="s">
        <v>16</v>
      </c>
      <c r="N17" s="8">
        <f>D11/2</f>
        <v>3.4549999999999997E-2</v>
      </c>
      <c r="S17" s="6" t="s">
        <v>16</v>
      </c>
      <c r="T17" s="8">
        <f>E11/2</f>
        <v>3.4599999999999999E-2</v>
      </c>
    </row>
    <row r="18" spans="1:22" ht="14.4" x14ac:dyDescent="0.3">
      <c r="A18" s="52" t="s">
        <v>17</v>
      </c>
      <c r="B18" s="6">
        <f>B9</f>
        <v>7.7</v>
      </c>
      <c r="G18" s="6" t="s">
        <v>17</v>
      </c>
      <c r="H18" s="6">
        <f>C9</f>
        <v>10</v>
      </c>
      <c r="M18" s="6" t="s">
        <v>17</v>
      </c>
      <c r="N18" s="6">
        <f>D9</f>
        <v>17.100000000000001</v>
      </c>
      <c r="S18" s="6" t="s">
        <v>17</v>
      </c>
      <c r="T18" s="6">
        <f>E9</f>
        <v>28.2</v>
      </c>
    </row>
    <row r="19" spans="1:22" ht="14.4" x14ac:dyDescent="0.3">
      <c r="A19" s="52" t="s">
        <v>18</v>
      </c>
      <c r="B19" s="6">
        <f>B18*2</f>
        <v>15.4</v>
      </c>
      <c r="G19" s="6" t="s">
        <v>18</v>
      </c>
      <c r="H19" s="6">
        <f>H18*2</f>
        <v>20</v>
      </c>
      <c r="M19" s="6" t="s">
        <v>18</v>
      </c>
      <c r="N19" s="6">
        <f>N18*2</f>
        <v>34.200000000000003</v>
      </c>
      <c r="S19" s="6" t="s">
        <v>18</v>
      </c>
      <c r="T19" s="6">
        <f>T18*2</f>
        <v>56.4</v>
      </c>
    </row>
    <row r="22" spans="1:22" ht="14.4" x14ac:dyDescent="0.3">
      <c r="A22" s="6" t="s">
        <v>19</v>
      </c>
      <c r="B22" s="6" t="s">
        <v>20</v>
      </c>
      <c r="C22" s="6" t="s">
        <v>21</v>
      </c>
      <c r="D22" s="6" t="s">
        <v>22</v>
      </c>
      <c r="G22" s="6" t="s">
        <v>19</v>
      </c>
      <c r="H22" s="6" t="s">
        <v>20</v>
      </c>
      <c r="I22" s="6" t="s">
        <v>21</v>
      </c>
      <c r="J22" s="6" t="s">
        <v>22</v>
      </c>
      <c r="M22" s="19" t="s">
        <v>19</v>
      </c>
      <c r="N22" s="19" t="s">
        <v>20</v>
      </c>
      <c r="O22" s="19" t="s">
        <v>21</v>
      </c>
      <c r="P22" s="19" t="s">
        <v>22</v>
      </c>
      <c r="S22" s="19" t="s">
        <v>19</v>
      </c>
      <c r="T22" s="19" t="s">
        <v>20</v>
      </c>
      <c r="U22" s="19" t="s">
        <v>21</v>
      </c>
      <c r="V22" s="19" t="s">
        <v>22</v>
      </c>
    </row>
    <row r="23" spans="1:22" ht="14.4" x14ac:dyDescent="0.3">
      <c r="A23" s="6">
        <v>1</v>
      </c>
      <c r="B23" s="11">
        <f>$B$16</f>
        <v>33125</v>
      </c>
      <c r="C23" s="11">
        <f>B23/((1+$B$17)^A23)</f>
        <v>32049.731507909633</v>
      </c>
      <c r="D23" s="11">
        <f>A23*C23</f>
        <v>32049.731507909633</v>
      </c>
      <c r="G23" s="6">
        <v>1</v>
      </c>
      <c r="H23" s="13">
        <f>$H$16</f>
        <v>41250</v>
      </c>
      <c r="I23" s="11">
        <f>H23/(1+$H$17)^G23</f>
        <v>39895.546206296247</v>
      </c>
      <c r="J23" s="11">
        <f>G23*I23</f>
        <v>39895.546206296247</v>
      </c>
      <c r="M23" s="19">
        <v>1</v>
      </c>
      <c r="N23" s="20">
        <f>N16</f>
        <v>35625</v>
      </c>
      <c r="O23" s="20">
        <f>N23/(1+$N$17)^M23</f>
        <v>34435.261707988975</v>
      </c>
      <c r="P23" s="20">
        <f>O23*M23</f>
        <v>34435.261707988975</v>
      </c>
      <c r="S23" s="19">
        <v>1</v>
      </c>
      <c r="T23" s="20">
        <f>T16</f>
        <v>36875</v>
      </c>
      <c r="U23" s="20">
        <f t="shared" ref="U23:U30" si="0">T23/(1+$T$17)^S23</f>
        <v>35641.793930021267</v>
      </c>
      <c r="V23" s="20">
        <f>U23*S23</f>
        <v>35641.793930021267</v>
      </c>
    </row>
    <row r="24" spans="1:22" ht="14.4" x14ac:dyDescent="0.3">
      <c r="A24" s="6">
        <v>2</v>
      </c>
      <c r="B24" s="11">
        <f t="shared" ref="B24:B25" si="1">$B$16</f>
        <v>33125</v>
      </c>
      <c r="C24" s="11">
        <f t="shared" ref="C24:C38" si="2">B24/((1+$B$17)^A24)</f>
        <v>31009.367237104772</v>
      </c>
      <c r="D24" s="11">
        <f t="shared" ref="D24:D38" si="3">A24*C24</f>
        <v>62018.734474209545</v>
      </c>
      <c r="G24" s="6">
        <v>2</v>
      </c>
      <c r="H24" s="13">
        <f t="shared" ref="H24:H41" si="4">$H$16</f>
        <v>41250</v>
      </c>
      <c r="I24" s="11">
        <f t="shared" ref="I24:I42" si="5">H24/(1+$H$17)^G24</f>
        <v>38585.566232696212</v>
      </c>
      <c r="J24" s="11">
        <f t="shared" ref="J24:J42" si="6">G24*I24</f>
        <v>77171.132465392424</v>
      </c>
      <c r="M24" s="19">
        <v>2</v>
      </c>
      <c r="N24" s="20">
        <f>$N$23</f>
        <v>35625</v>
      </c>
      <c r="O24" s="20">
        <f t="shared" ref="O24:O57" si="7">N24/(1+$N$17)^M24</f>
        <v>33285.256109408903</v>
      </c>
      <c r="P24" s="20">
        <f t="shared" ref="P24:P57" si="8">O24*M24</f>
        <v>66570.512218817807</v>
      </c>
      <c r="S24" s="19">
        <v>2</v>
      </c>
      <c r="T24" s="20">
        <f t="shared" ref="T24:T30" si="9">$T$23</f>
        <v>36875</v>
      </c>
      <c r="U24" s="20">
        <f t="shared" si="0"/>
        <v>34449.829818307815</v>
      </c>
      <c r="V24" s="20">
        <f t="shared" ref="V24:V76" si="10">U24*S24</f>
        <v>68899.65963661563</v>
      </c>
    </row>
    <row r="25" spans="1:22" ht="14.4" x14ac:dyDescent="0.3">
      <c r="A25" s="6">
        <v>3</v>
      </c>
      <c r="B25" s="11">
        <f t="shared" si="1"/>
        <v>33125</v>
      </c>
      <c r="C25" s="53">
        <f t="shared" si="2"/>
        <v>30002.774163905735</v>
      </c>
      <c r="D25" s="11">
        <f t="shared" si="3"/>
        <v>90008.322491717205</v>
      </c>
      <c r="G25" s="6">
        <v>3</v>
      </c>
      <c r="H25" s="13">
        <f t="shared" si="4"/>
        <v>41250</v>
      </c>
      <c r="I25" s="11">
        <f t="shared" si="5"/>
        <v>37318.599770488145</v>
      </c>
      <c r="J25" s="11">
        <f t="shared" si="6"/>
        <v>111955.79931146443</v>
      </c>
      <c r="M25" s="19">
        <v>3</v>
      </c>
      <c r="N25" s="20">
        <f t="shared" ref="N25:N56" si="11">$N$23</f>
        <v>35625</v>
      </c>
      <c r="O25" s="20">
        <f t="shared" si="7"/>
        <v>32173.656284770088</v>
      </c>
      <c r="P25" s="20">
        <f t="shared" si="8"/>
        <v>96520.968854310267</v>
      </c>
      <c r="S25" s="19">
        <v>3</v>
      </c>
      <c r="T25" s="20">
        <f t="shared" si="9"/>
        <v>36875</v>
      </c>
      <c r="U25" s="20">
        <f t="shared" si="0"/>
        <v>33297.728415143843</v>
      </c>
      <c r="V25" s="20">
        <f t="shared" si="10"/>
        <v>99893.185245431523</v>
      </c>
    </row>
    <row r="26" spans="1:22" ht="14.4" x14ac:dyDescent="0.3">
      <c r="A26" s="6">
        <v>4</v>
      </c>
      <c r="B26" s="11">
        <f>$B$16</f>
        <v>33125</v>
      </c>
      <c r="C26" s="11">
        <f t="shared" si="2"/>
        <v>29028.856043641561</v>
      </c>
      <c r="D26" s="11">
        <f t="shared" si="3"/>
        <v>116115.42417456624</v>
      </c>
      <c r="G26" s="6">
        <v>4</v>
      </c>
      <c r="H26" s="13">
        <f t="shared" si="4"/>
        <v>41250</v>
      </c>
      <c r="I26" s="11">
        <f t="shared" si="5"/>
        <v>36093.23446055239</v>
      </c>
      <c r="J26" s="11">
        <f t="shared" si="6"/>
        <v>144372.93784220956</v>
      </c>
      <c r="M26" s="19">
        <v>4</v>
      </c>
      <c r="N26" s="20">
        <f t="shared" si="11"/>
        <v>35625</v>
      </c>
      <c r="O26" s="20">
        <f t="shared" si="7"/>
        <v>31099.179628601894</v>
      </c>
      <c r="P26" s="20">
        <f t="shared" si="8"/>
        <v>124396.71851440758</v>
      </c>
      <c r="S26" s="19">
        <v>4</v>
      </c>
      <c r="T26" s="20">
        <f t="shared" si="9"/>
        <v>36875</v>
      </c>
      <c r="U26" s="20">
        <f t="shared" si="0"/>
        <v>32184.156596891396</v>
      </c>
      <c r="V26" s="20">
        <f t="shared" si="10"/>
        <v>128736.62638756559</v>
      </c>
    </row>
    <row r="27" spans="1:22" ht="14.4" x14ac:dyDescent="0.3">
      <c r="A27">
        <v>5</v>
      </c>
      <c r="B27" s="11">
        <f t="shared" ref="B27:B37" si="12">$B$16</f>
        <v>33125</v>
      </c>
      <c r="C27" s="11">
        <f t="shared" si="2"/>
        <v>28086.55221676896</v>
      </c>
      <c r="D27" s="11">
        <f t="shared" si="3"/>
        <v>140432.76108384479</v>
      </c>
      <c r="G27" s="6">
        <v>5</v>
      </c>
      <c r="H27" s="13">
        <f t="shared" si="4"/>
        <v>41250</v>
      </c>
      <c r="I27" s="11">
        <f t="shared" si="5"/>
        <v>34908.104318924896</v>
      </c>
      <c r="J27" s="11">
        <f t="shared" si="6"/>
        <v>174540.52159462447</v>
      </c>
      <c r="M27" s="19">
        <v>5</v>
      </c>
      <c r="N27" s="20">
        <f t="shared" si="11"/>
        <v>35625</v>
      </c>
      <c r="O27" s="20">
        <f t="shared" si="7"/>
        <v>30060.586369534478</v>
      </c>
      <c r="P27" s="20">
        <f t="shared" si="8"/>
        <v>150302.93184767239</v>
      </c>
      <c r="S27" s="19">
        <v>5</v>
      </c>
      <c r="T27" s="20">
        <f t="shared" si="9"/>
        <v>36875</v>
      </c>
      <c r="U27" s="20">
        <f t="shared" si="0"/>
        <v>31107.825823401698</v>
      </c>
      <c r="V27" s="20">
        <f t="shared" si="10"/>
        <v>155539.12911700847</v>
      </c>
    </row>
    <row r="28" spans="1:22" ht="14.4" x14ac:dyDescent="0.3">
      <c r="A28">
        <v>6</v>
      </c>
      <c r="B28" s="11">
        <f t="shared" si="12"/>
        <v>33125</v>
      </c>
      <c r="C28" s="11">
        <f t="shared" si="2"/>
        <v>27174.836453745793</v>
      </c>
      <c r="D28" s="11">
        <f t="shared" si="3"/>
        <v>163049.01872247475</v>
      </c>
      <c r="G28" s="6">
        <v>6</v>
      </c>
      <c r="H28" s="13">
        <f t="shared" si="4"/>
        <v>41250</v>
      </c>
      <c r="I28" s="11">
        <f t="shared" si="5"/>
        <v>33761.888214057639</v>
      </c>
      <c r="J28" s="11">
        <f t="shared" si="6"/>
        <v>202571.32928434585</v>
      </c>
      <c r="M28" s="19">
        <v>6</v>
      </c>
      <c r="N28" s="20">
        <f t="shared" si="11"/>
        <v>35625</v>
      </c>
      <c r="O28" s="20">
        <f t="shared" si="7"/>
        <v>29056.678139804237</v>
      </c>
      <c r="P28" s="20">
        <f t="shared" si="8"/>
        <v>174340.06883882542</v>
      </c>
      <c r="S28" s="19">
        <v>6</v>
      </c>
      <c r="T28" s="20">
        <f t="shared" si="9"/>
        <v>36875</v>
      </c>
      <c r="U28" s="20">
        <f t="shared" si="0"/>
        <v>30067.490647014976</v>
      </c>
      <c r="V28" s="20">
        <f t="shared" si="10"/>
        <v>180404.94388208986</v>
      </c>
    </row>
    <row r="29" spans="1:22" ht="14.4" x14ac:dyDescent="0.3">
      <c r="A29">
        <v>7</v>
      </c>
      <c r="B29" s="11">
        <f t="shared" si="12"/>
        <v>33125</v>
      </c>
      <c r="C29" s="11">
        <f t="shared" si="2"/>
        <v>26292.715837400989</v>
      </c>
      <c r="D29" s="11">
        <f t="shared" si="3"/>
        <v>184049.01086180692</v>
      </c>
      <c r="G29" s="6">
        <v>7</v>
      </c>
      <c r="H29" s="13">
        <f t="shared" si="4"/>
        <v>41250</v>
      </c>
      <c r="I29" s="11">
        <f t="shared" si="5"/>
        <v>32653.308394078678</v>
      </c>
      <c r="J29" s="11">
        <f t="shared" si="6"/>
        <v>228573.15875855074</v>
      </c>
      <c r="M29" s="19">
        <v>7</v>
      </c>
      <c r="N29" s="20">
        <f t="shared" si="11"/>
        <v>35625</v>
      </c>
      <c r="O29" s="20">
        <f t="shared" si="7"/>
        <v>28086.296592532246</v>
      </c>
      <c r="P29" s="20">
        <f t="shared" si="8"/>
        <v>196604.07614772572</v>
      </c>
      <c r="S29" s="19">
        <v>7</v>
      </c>
      <c r="T29" s="20">
        <f t="shared" si="9"/>
        <v>36875</v>
      </c>
      <c r="U29" s="20">
        <f t="shared" si="0"/>
        <v>29061.94727142372</v>
      </c>
      <c r="V29" s="20">
        <f t="shared" si="10"/>
        <v>203433.63089996605</v>
      </c>
    </row>
    <row r="30" spans="1:22" ht="14.4" x14ac:dyDescent="0.3">
      <c r="A30">
        <v>8</v>
      </c>
      <c r="B30" s="11">
        <f t="shared" si="12"/>
        <v>33125</v>
      </c>
      <c r="C30" s="11">
        <f t="shared" si="2"/>
        <v>25439.229681583853</v>
      </c>
      <c r="D30" s="11">
        <f t="shared" si="3"/>
        <v>203513.83745267082</v>
      </c>
      <c r="G30" s="6">
        <v>8</v>
      </c>
      <c r="H30" s="13">
        <f t="shared" si="4"/>
        <v>41250</v>
      </c>
      <c r="I30" s="11">
        <f t="shared" si="5"/>
        <v>31581.129062409858</v>
      </c>
      <c r="J30" s="11">
        <f t="shared" si="6"/>
        <v>252649.03249927887</v>
      </c>
      <c r="M30" s="19">
        <v>8</v>
      </c>
      <c r="N30" s="20">
        <f t="shared" si="11"/>
        <v>35625</v>
      </c>
      <c r="O30" s="20">
        <f t="shared" si="7"/>
        <v>27148.322065180266</v>
      </c>
      <c r="P30" s="20">
        <f t="shared" si="8"/>
        <v>217186.57652144213</v>
      </c>
      <c r="S30" s="19">
        <v>8</v>
      </c>
      <c r="T30" s="20">
        <f t="shared" si="9"/>
        <v>36875</v>
      </c>
      <c r="U30" s="20">
        <f t="shared" si="0"/>
        <v>28090.032158731603</v>
      </c>
      <c r="V30" s="20">
        <f t="shared" si="10"/>
        <v>224720.25726985282</v>
      </c>
    </row>
    <row r="31" spans="1:22" ht="14.4" x14ac:dyDescent="0.3">
      <c r="A31">
        <v>9</v>
      </c>
      <c r="B31" s="11">
        <f t="shared" si="12"/>
        <v>33125</v>
      </c>
      <c r="C31" s="11">
        <f t="shared" si="2"/>
        <v>24613.448484914956</v>
      </c>
      <c r="D31" s="11">
        <f t="shared" si="3"/>
        <v>221521.03636423461</v>
      </c>
      <c r="G31" s="6">
        <v>9</v>
      </c>
      <c r="H31" s="13">
        <f t="shared" si="4"/>
        <v>41250</v>
      </c>
      <c r="I31" s="11">
        <f t="shared" si="5"/>
        <v>30544.155000154617</v>
      </c>
      <c r="J31" s="11">
        <f t="shared" si="6"/>
        <v>274897.39500139153</v>
      </c>
      <c r="M31" s="19">
        <v>9</v>
      </c>
      <c r="N31" s="20">
        <f t="shared" si="11"/>
        <v>35625</v>
      </c>
      <c r="O31" s="20">
        <f t="shared" si="7"/>
        <v>26241.672287642225</v>
      </c>
      <c r="P31" s="20">
        <f t="shared" si="8"/>
        <v>236175.05058878002</v>
      </c>
      <c r="S31" s="19">
        <v>9</v>
      </c>
      <c r="T31" s="20">
        <f t="shared" ref="T31:T35" si="13">$T$23</f>
        <v>36875</v>
      </c>
      <c r="U31" s="20">
        <f t="shared" ref="U31:U35" si="14">T31/(1+$T$17)^S31</f>
        <v>27150.620683096466</v>
      </c>
      <c r="V31" s="20">
        <f t="shared" si="10"/>
        <v>244355.58614786819</v>
      </c>
    </row>
    <row r="32" spans="1:22" ht="14.4" x14ac:dyDescent="0.3">
      <c r="A32">
        <v>10</v>
      </c>
      <c r="B32" s="11">
        <f t="shared" si="12"/>
        <v>33125</v>
      </c>
      <c r="C32" s="11">
        <f t="shared" si="2"/>
        <v>23814.472918499305</v>
      </c>
      <c r="D32" s="11">
        <f t="shared" si="3"/>
        <v>238144.72918499305</v>
      </c>
      <c r="G32" s="6">
        <v>10</v>
      </c>
      <c r="H32" s="13">
        <f t="shared" si="4"/>
        <v>41250</v>
      </c>
      <c r="I32" s="11">
        <f t="shared" si="5"/>
        <v>29541.230233719827</v>
      </c>
      <c r="J32" s="11">
        <f t="shared" si="6"/>
        <v>295412.30233719829</v>
      </c>
      <c r="M32" s="19">
        <v>10</v>
      </c>
      <c r="N32" s="20">
        <f t="shared" si="11"/>
        <v>35625</v>
      </c>
      <c r="O32" s="20">
        <f t="shared" si="7"/>
        <v>25365.301133480472</v>
      </c>
      <c r="P32" s="20">
        <f t="shared" si="8"/>
        <v>253653.01133480473</v>
      </c>
      <c r="S32" s="19">
        <v>10</v>
      </c>
      <c r="T32" s="20">
        <f t="shared" si="13"/>
        <v>36875</v>
      </c>
      <c r="U32" s="20">
        <f t="shared" si="14"/>
        <v>26242.625829399254</v>
      </c>
      <c r="V32" s="20">
        <f t="shared" si="10"/>
        <v>262426.25829399255</v>
      </c>
    </row>
    <row r="33" spans="1:22" ht="14.4" x14ac:dyDescent="0.3">
      <c r="A33">
        <v>11</v>
      </c>
      <c r="B33" s="11">
        <f t="shared" si="12"/>
        <v>33125</v>
      </c>
      <c r="C33" s="11">
        <f t="shared" si="2"/>
        <v>23041.432846499258</v>
      </c>
      <c r="D33" s="11">
        <f t="shared" si="3"/>
        <v>253455.76131149183</v>
      </c>
      <c r="G33" s="6">
        <v>11</v>
      </c>
      <c r="H33" s="13">
        <f t="shared" si="4"/>
        <v>41250</v>
      </c>
      <c r="I33" s="11">
        <f t="shared" si="5"/>
        <v>28571.236746186791</v>
      </c>
      <c r="J33" s="11">
        <f t="shared" si="6"/>
        <v>314283.60420805472</v>
      </c>
      <c r="M33" s="19">
        <v>11</v>
      </c>
      <c r="N33" s="20">
        <f t="shared" si="11"/>
        <v>35625</v>
      </c>
      <c r="O33" s="20">
        <f t="shared" si="7"/>
        <v>24518.197412865953</v>
      </c>
      <c r="P33" s="20">
        <f t="shared" si="8"/>
        <v>269700.17154152546</v>
      </c>
      <c r="S33" s="19">
        <v>11</v>
      </c>
      <c r="T33" s="20">
        <f t="shared" si="13"/>
        <v>36875</v>
      </c>
      <c r="U33" s="20">
        <f t="shared" si="14"/>
        <v>25364.996935433268</v>
      </c>
      <c r="V33" s="20">
        <f t="shared" si="10"/>
        <v>279014.96628976596</v>
      </c>
    </row>
    <row r="34" spans="1:22" ht="14.4" x14ac:dyDescent="0.3">
      <c r="A34">
        <v>12</v>
      </c>
      <c r="B34" s="11">
        <f t="shared" si="12"/>
        <v>33125</v>
      </c>
      <c r="C34" s="11">
        <f t="shared" si="2"/>
        <v>22293.486378500562</v>
      </c>
      <c r="D34" s="11">
        <f t="shared" si="3"/>
        <v>267521.83654200676</v>
      </c>
      <c r="G34" s="6">
        <v>12</v>
      </c>
      <c r="H34" s="13">
        <f t="shared" si="4"/>
        <v>41250</v>
      </c>
      <c r="I34" s="11">
        <f t="shared" si="5"/>
        <v>27633.093230994527</v>
      </c>
      <c r="J34" s="11">
        <f t="shared" si="6"/>
        <v>331597.1187719343</v>
      </c>
      <c r="M34" s="19">
        <v>12</v>
      </c>
      <c r="N34" s="20">
        <f t="shared" si="11"/>
        <v>35625</v>
      </c>
      <c r="O34" s="20">
        <f t="shared" si="7"/>
        <v>23699.383705829539</v>
      </c>
      <c r="P34" s="20">
        <f t="shared" si="8"/>
        <v>284392.6044699545</v>
      </c>
      <c r="S34" s="19">
        <v>12</v>
      </c>
      <c r="T34" s="20">
        <f t="shared" si="13"/>
        <v>36875</v>
      </c>
      <c r="U34" s="20">
        <f t="shared" si="14"/>
        <v>24516.718476158188</v>
      </c>
      <c r="V34" s="20">
        <f t="shared" si="10"/>
        <v>294200.62171389826</v>
      </c>
    </row>
    <row r="35" spans="1:22" ht="14.4" x14ac:dyDescent="0.3">
      <c r="A35">
        <v>13</v>
      </c>
      <c r="B35" s="11">
        <f t="shared" si="12"/>
        <v>33125</v>
      </c>
      <c r="C35" s="11">
        <f t="shared" si="2"/>
        <v>21569.818952639507</v>
      </c>
      <c r="D35" s="11">
        <f t="shared" si="3"/>
        <v>280407.64638431359</v>
      </c>
      <c r="G35" s="6">
        <v>13</v>
      </c>
      <c r="H35" s="13">
        <f t="shared" si="4"/>
        <v>41250</v>
      </c>
      <c r="I35" s="11">
        <f t="shared" si="5"/>
        <v>26725.753886546277</v>
      </c>
      <c r="J35" s="11">
        <f t="shared" si="6"/>
        <v>347434.8005251016</v>
      </c>
      <c r="M35" s="19">
        <v>13</v>
      </c>
      <c r="N35" s="20">
        <f t="shared" si="11"/>
        <v>35625</v>
      </c>
      <c r="O35" s="20">
        <f t="shared" si="7"/>
        <v>22907.915234478314</v>
      </c>
      <c r="P35" s="20">
        <f t="shared" si="8"/>
        <v>297802.89804821811</v>
      </c>
      <c r="S35" s="19">
        <v>13</v>
      </c>
      <c r="T35" s="20">
        <f t="shared" si="13"/>
        <v>36875</v>
      </c>
      <c r="U35" s="20">
        <f t="shared" si="14"/>
        <v>23696.808888612206</v>
      </c>
      <c r="V35" s="20">
        <f t="shared" si="10"/>
        <v>308058.5155519587</v>
      </c>
    </row>
    <row r="36" spans="1:22" ht="14.4" x14ac:dyDescent="0.3">
      <c r="A36">
        <v>14</v>
      </c>
      <c r="B36" s="11">
        <f t="shared" si="12"/>
        <v>33125</v>
      </c>
      <c r="C36" s="11">
        <f t="shared" si="2"/>
        <v>20869.642448492585</v>
      </c>
      <c r="D36" s="11">
        <f t="shared" si="3"/>
        <v>292174.99427889619</v>
      </c>
      <c r="G36" s="6">
        <v>14</v>
      </c>
      <c r="H36" s="13">
        <f t="shared" si="4"/>
        <v>41250</v>
      </c>
      <c r="I36" s="11">
        <f t="shared" si="5"/>
        <v>25848.20725039536</v>
      </c>
      <c r="J36" s="11">
        <f t="shared" si="6"/>
        <v>361874.90150553506</v>
      </c>
      <c r="M36" s="19">
        <v>14</v>
      </c>
      <c r="N36" s="20">
        <f t="shared" si="11"/>
        <v>35625</v>
      </c>
      <c r="O36" s="20">
        <f t="shared" si="7"/>
        <v>22142.878772875465</v>
      </c>
      <c r="P36" s="20">
        <f t="shared" si="8"/>
        <v>310000.3028202565</v>
      </c>
      <c r="S36" s="19">
        <v>14</v>
      </c>
      <c r="T36" s="20">
        <f t="shared" ref="T36:T76" si="15">$T$23</f>
        <v>36875</v>
      </c>
      <c r="U36" s="20">
        <f t="shared" ref="U36:U77" si="16">T36/(1+$T$17)^S36</f>
        <v>22904.319436122372</v>
      </c>
      <c r="V36" s="20">
        <f t="shared" si="10"/>
        <v>320660.47210571321</v>
      </c>
    </row>
    <row r="37" spans="1:22" ht="14.4" x14ac:dyDescent="0.3">
      <c r="A37">
        <v>15</v>
      </c>
      <c r="B37" s="11">
        <f t="shared" si="12"/>
        <v>33125</v>
      </c>
      <c r="C37" s="11">
        <f t="shared" si="2"/>
        <v>20192.194328762598</v>
      </c>
      <c r="D37" s="11">
        <f t="shared" si="3"/>
        <v>302882.91493143898</v>
      </c>
      <c r="G37" s="6">
        <v>15</v>
      </c>
      <c r="H37" s="13">
        <f t="shared" si="4"/>
        <v>41250</v>
      </c>
      <c r="I37" s="11">
        <f t="shared" si="5"/>
        <v>24999.475071710789</v>
      </c>
      <c r="J37" s="11">
        <f t="shared" si="6"/>
        <v>374992.12607566186</v>
      </c>
      <c r="M37" s="19">
        <v>15</v>
      </c>
      <c r="N37" s="20">
        <f t="shared" si="11"/>
        <v>35625</v>
      </c>
      <c r="O37" s="20">
        <f t="shared" si="7"/>
        <v>21403.391593326047</v>
      </c>
      <c r="P37" s="20">
        <f t="shared" si="8"/>
        <v>321050.87389989069</v>
      </c>
      <c r="S37" s="19">
        <v>15</v>
      </c>
      <c r="T37" s="20">
        <f t="shared" si="15"/>
        <v>36875</v>
      </c>
      <c r="U37" s="20">
        <f t="shared" si="16"/>
        <v>22138.333110499105</v>
      </c>
      <c r="V37" s="20">
        <f t="shared" si="10"/>
        <v>332074.9966574866</v>
      </c>
    </row>
    <row r="38" spans="1:22" ht="14.4" x14ac:dyDescent="0.3">
      <c r="A38">
        <v>15.4</v>
      </c>
      <c r="B38" s="11">
        <f>$B$16+B8</f>
        <v>1033125</v>
      </c>
      <c r="C38" s="29">
        <f t="shared" si="2"/>
        <v>621509.69073515956</v>
      </c>
      <c r="D38" s="29">
        <f t="shared" si="3"/>
        <v>9571249.2373214569</v>
      </c>
      <c r="G38" s="6">
        <v>16</v>
      </c>
      <c r="H38" s="13">
        <f t="shared" si="4"/>
        <v>41250</v>
      </c>
      <c r="I38" s="11">
        <f t="shared" si="5"/>
        <v>24178.611220765786</v>
      </c>
      <c r="J38" s="11">
        <f t="shared" si="6"/>
        <v>386857.77953225258</v>
      </c>
      <c r="M38" s="19">
        <v>16</v>
      </c>
      <c r="N38" s="20">
        <f t="shared" si="11"/>
        <v>35625</v>
      </c>
      <c r="O38" s="20">
        <f t="shared" si="7"/>
        <v>20688.600447852736</v>
      </c>
      <c r="P38" s="20">
        <f t="shared" si="8"/>
        <v>331017.60716564377</v>
      </c>
      <c r="S38" s="19">
        <v>16</v>
      </c>
      <c r="T38" s="20">
        <f t="shared" si="15"/>
        <v>36875</v>
      </c>
      <c r="U38" s="20">
        <f t="shared" si="16"/>
        <v>21397.963570944426</v>
      </c>
      <c r="V38" s="20">
        <f t="shared" si="10"/>
        <v>342367.41713511082</v>
      </c>
    </row>
    <row r="39" spans="1:22" ht="14.4" x14ac:dyDescent="0.3">
      <c r="C39" s="25">
        <f>SUM(C23:C38)</f>
        <v>1006988.2502355296</v>
      </c>
      <c r="D39" s="25">
        <f>SUM(D23:D38)</f>
        <v>12418594.997088032</v>
      </c>
      <c r="G39" s="6">
        <v>17</v>
      </c>
      <c r="H39" s="13">
        <f t="shared" si="4"/>
        <v>41250</v>
      </c>
      <c r="I39" s="11">
        <f t="shared" si="5"/>
        <v>23384.700634233559</v>
      </c>
      <c r="J39" s="11">
        <f t="shared" si="6"/>
        <v>397539.91078197048</v>
      </c>
      <c r="M39" s="19">
        <v>17</v>
      </c>
      <c r="N39" s="20">
        <f t="shared" si="11"/>
        <v>35625</v>
      </c>
      <c r="O39" s="20">
        <f t="shared" si="7"/>
        <v>19997.680583686371</v>
      </c>
      <c r="P39" s="20">
        <f t="shared" si="8"/>
        <v>339960.56992266834</v>
      </c>
      <c r="S39" s="19">
        <v>17</v>
      </c>
      <c r="T39" s="20">
        <f t="shared" si="15"/>
        <v>36875</v>
      </c>
      <c r="U39" s="20">
        <f t="shared" si="16"/>
        <v>20682.35411844619</v>
      </c>
      <c r="V39" s="20">
        <f t="shared" si="10"/>
        <v>351600.02001358522</v>
      </c>
    </row>
    <row r="40" spans="1:22" ht="14.4" x14ac:dyDescent="0.3">
      <c r="C40" s="90" t="s">
        <v>24</v>
      </c>
      <c r="D40" s="19">
        <f>D39/C39</f>
        <v>12.332413008973425</v>
      </c>
      <c r="G40" s="6">
        <v>18</v>
      </c>
      <c r="H40" s="13">
        <f t="shared" si="4"/>
        <v>41250</v>
      </c>
      <c r="I40" s="11">
        <f t="shared" si="5"/>
        <v>22616.858295114427</v>
      </c>
      <c r="J40" s="11">
        <f t="shared" si="6"/>
        <v>407103.44931205967</v>
      </c>
      <c r="M40" s="19">
        <v>18</v>
      </c>
      <c r="N40" s="20">
        <f t="shared" si="11"/>
        <v>35625</v>
      </c>
      <c r="O40" s="20">
        <f t="shared" si="7"/>
        <v>19329.834791635367</v>
      </c>
      <c r="P40" s="20">
        <f t="shared" si="8"/>
        <v>347937.0262494366</v>
      </c>
      <c r="S40" s="19">
        <v>18</v>
      </c>
      <c r="T40" s="20">
        <f t="shared" si="15"/>
        <v>36875</v>
      </c>
      <c r="U40" s="20">
        <f t="shared" si="16"/>
        <v>19990.676704471476</v>
      </c>
      <c r="V40" s="20">
        <f t="shared" si="10"/>
        <v>359832.18068048655</v>
      </c>
    </row>
    <row r="41" spans="1:22" ht="14.4" x14ac:dyDescent="0.3">
      <c r="C41" s="90"/>
      <c r="D41" s="19">
        <f>D40/2</f>
        <v>6.1662065044867127</v>
      </c>
      <c r="G41" s="6">
        <v>19</v>
      </c>
      <c r="H41" s="13">
        <f t="shared" si="4"/>
        <v>41250</v>
      </c>
      <c r="I41" s="11">
        <f t="shared" si="5"/>
        <v>21874.228246157385</v>
      </c>
      <c r="J41" s="11">
        <f t="shared" si="6"/>
        <v>415610.33667699032</v>
      </c>
      <c r="M41" s="19">
        <v>19</v>
      </c>
      <c r="N41" s="20">
        <f t="shared" si="11"/>
        <v>35625</v>
      </c>
      <c r="O41" s="20">
        <f t="shared" si="7"/>
        <v>18684.292486235914</v>
      </c>
      <c r="P41" s="20">
        <f t="shared" si="8"/>
        <v>355001.55723848235</v>
      </c>
      <c r="S41" s="19">
        <v>19</v>
      </c>
      <c r="T41" s="20">
        <f t="shared" si="15"/>
        <v>36875</v>
      </c>
      <c r="U41" s="20">
        <f t="shared" si="16"/>
        <v>19322.130972812178</v>
      </c>
      <c r="V41" s="20">
        <f t="shared" si="10"/>
        <v>367120.4884834314</v>
      </c>
    </row>
    <row r="42" spans="1:22" ht="14.4" x14ac:dyDescent="0.3">
      <c r="D42">
        <f>1+(B11/B3)</f>
        <v>1.03355</v>
      </c>
      <c r="G42" s="6">
        <v>20</v>
      </c>
      <c r="H42" s="13">
        <f>$H$16+C8</f>
        <v>1041250</v>
      </c>
      <c r="I42" s="29">
        <f t="shared" si="5"/>
        <v>534028.28895509872</v>
      </c>
      <c r="J42" s="29">
        <f t="shared" si="6"/>
        <v>10680565.779101975</v>
      </c>
      <c r="M42" s="19">
        <v>20</v>
      </c>
      <c r="N42" s="20">
        <f t="shared" si="11"/>
        <v>35625</v>
      </c>
      <c r="O42" s="20">
        <f t="shared" si="7"/>
        <v>18060.308816621637</v>
      </c>
      <c r="P42" s="20">
        <f t="shared" si="8"/>
        <v>361206.17633243272</v>
      </c>
      <c r="S42" s="19">
        <v>20</v>
      </c>
      <c r="T42" s="20">
        <f t="shared" si="15"/>
        <v>36875</v>
      </c>
      <c r="U42" s="20">
        <f t="shared" si="16"/>
        <v>18675.943333473973</v>
      </c>
      <c r="V42" s="20">
        <f t="shared" si="10"/>
        <v>373518.86666947947</v>
      </c>
    </row>
    <row r="43" spans="1:22" ht="14.4" x14ac:dyDescent="0.3">
      <c r="D43">
        <f>D41/D42</f>
        <v>5.9660456721849089</v>
      </c>
      <c r="I43" s="25">
        <f>SUM(I23:I42)</f>
        <v>1104743.2154305822</v>
      </c>
      <c r="J43" s="25">
        <f>SUM(J23:J42)</f>
        <v>15819898.961792288</v>
      </c>
      <c r="M43" s="19">
        <v>21</v>
      </c>
      <c r="N43" s="20">
        <f t="shared" si="11"/>
        <v>35625</v>
      </c>
      <c r="O43" s="20">
        <f t="shared" si="7"/>
        <v>17457.163807086785</v>
      </c>
      <c r="P43" s="20">
        <f t="shared" si="8"/>
        <v>366600.43994882249</v>
      </c>
      <c r="S43" s="19">
        <v>21</v>
      </c>
      <c r="T43" s="20">
        <f t="shared" si="15"/>
        <v>36875</v>
      </c>
      <c r="U43" s="20">
        <f t="shared" si="16"/>
        <v>18051.366067537187</v>
      </c>
      <c r="V43" s="20">
        <f t="shared" si="10"/>
        <v>379078.68741828093</v>
      </c>
    </row>
    <row r="44" spans="1:22" ht="14.4" x14ac:dyDescent="0.3">
      <c r="I44" s="90" t="s">
        <v>24</v>
      </c>
      <c r="J44" s="19">
        <f>J43/I43</f>
        <v>14.319978381244333</v>
      </c>
      <c r="M44" s="19">
        <v>22</v>
      </c>
      <c r="N44" s="20">
        <f t="shared" si="11"/>
        <v>35625</v>
      </c>
      <c r="O44" s="20">
        <f t="shared" si="7"/>
        <v>16874.161526351345</v>
      </c>
      <c r="P44" s="20">
        <f t="shared" si="8"/>
        <v>371231.55357972957</v>
      </c>
      <c r="S44" s="19">
        <v>22</v>
      </c>
      <c r="T44" s="20">
        <f t="shared" si="15"/>
        <v>36875</v>
      </c>
      <c r="U44" s="20">
        <f t="shared" si="16"/>
        <v>17447.676461953593</v>
      </c>
      <c r="V44" s="20">
        <f t="shared" si="10"/>
        <v>383848.88216297905</v>
      </c>
    </row>
    <row r="45" spans="1:22" ht="14.4" x14ac:dyDescent="0.3">
      <c r="A45" t="s">
        <v>25</v>
      </c>
      <c r="I45" s="90"/>
      <c r="J45" s="19">
        <f>J44/2</f>
        <v>7.1599891906221664</v>
      </c>
      <c r="M45" s="19">
        <v>23</v>
      </c>
      <c r="N45" s="20">
        <f t="shared" si="11"/>
        <v>35625</v>
      </c>
      <c r="O45" s="20">
        <f t="shared" si="7"/>
        <v>16310.629284569468</v>
      </c>
      <c r="P45" s="20">
        <f t="shared" si="8"/>
        <v>375144.47354509775</v>
      </c>
      <c r="S45" s="19">
        <v>23</v>
      </c>
      <c r="T45" s="20">
        <f t="shared" si="15"/>
        <v>36875</v>
      </c>
      <c r="U45" s="20">
        <f t="shared" si="16"/>
        <v>16864.175973278168</v>
      </c>
      <c r="V45" s="20">
        <f t="shared" si="10"/>
        <v>387876.04738539789</v>
      </c>
    </row>
    <row r="46" spans="1:22" ht="15" customHeight="1" x14ac:dyDescent="0.3">
      <c r="J46">
        <f>1+(C11/C3)</f>
        <v>1.0339499999999999</v>
      </c>
      <c r="M46" s="19">
        <v>24</v>
      </c>
      <c r="N46" s="20">
        <f t="shared" si="11"/>
        <v>35625</v>
      </c>
      <c r="O46" s="20">
        <f t="shared" si="7"/>
        <v>15765.916857154771</v>
      </c>
      <c r="P46" s="20">
        <f t="shared" si="8"/>
        <v>378382.0045717145</v>
      </c>
      <c r="S46" s="19">
        <v>24</v>
      </c>
      <c r="T46" s="20">
        <f t="shared" si="15"/>
        <v>36875</v>
      </c>
      <c r="U46" s="20">
        <f t="shared" si="16"/>
        <v>16300.189419368035</v>
      </c>
      <c r="V46" s="20">
        <f t="shared" si="10"/>
        <v>391204.54606483283</v>
      </c>
    </row>
    <row r="47" spans="1:22" ht="14.4" x14ac:dyDescent="0.3">
      <c r="A47" s="48" t="s">
        <v>0</v>
      </c>
      <c r="B47" s="48" t="s">
        <v>26</v>
      </c>
      <c r="C47" s="48" t="s">
        <v>27</v>
      </c>
      <c r="D47" s="48" t="s">
        <v>28</v>
      </c>
      <c r="E47" s="48" t="s">
        <v>22</v>
      </c>
      <c r="J47">
        <f>J45/J46</f>
        <v>6.9248892022072317</v>
      </c>
      <c r="M47" s="19">
        <v>25</v>
      </c>
      <c r="N47" s="20">
        <f t="shared" si="11"/>
        <v>35625</v>
      </c>
      <c r="O47" s="20">
        <f t="shared" si="7"/>
        <v>15239.395734526866</v>
      </c>
      <c r="P47" s="20">
        <f t="shared" si="8"/>
        <v>380984.89336317166</v>
      </c>
      <c r="S47" s="19">
        <v>25</v>
      </c>
      <c r="T47" s="20">
        <f t="shared" si="15"/>
        <v>36875</v>
      </c>
      <c r="U47" s="20">
        <f t="shared" si="16"/>
        <v>15755.064198113314</v>
      </c>
      <c r="V47" s="20">
        <f t="shared" si="10"/>
        <v>393876.60495283286</v>
      </c>
    </row>
    <row r="48" spans="1:22" ht="14.4" x14ac:dyDescent="0.3">
      <c r="A48" s="54" t="s">
        <v>99</v>
      </c>
      <c r="B48" s="6">
        <v>6</v>
      </c>
      <c r="C48" s="31">
        <f>1-D48</f>
        <v>0.96458824954025546</v>
      </c>
      <c r="D48" s="31">
        <f>(D43-B48)/(D43-J47)</f>
        <v>3.5411750459744588E-2</v>
      </c>
      <c r="E48" s="15">
        <f>C48+D48</f>
        <v>1</v>
      </c>
      <c r="M48" s="19">
        <v>26</v>
      </c>
      <c r="N48" s="20">
        <f t="shared" si="11"/>
        <v>35625</v>
      </c>
      <c r="O48" s="20">
        <f t="shared" si="7"/>
        <v>14730.458396913504</v>
      </c>
      <c r="P48" s="20">
        <f t="shared" si="8"/>
        <v>382991.9183197511</v>
      </c>
      <c r="S48" s="19">
        <v>26</v>
      </c>
      <c r="T48" s="20">
        <f t="shared" si="15"/>
        <v>36875</v>
      </c>
      <c r="U48" s="20">
        <f t="shared" si="16"/>
        <v>15228.169532295879</v>
      </c>
      <c r="V48" s="20">
        <f t="shared" si="10"/>
        <v>395932.40783969284</v>
      </c>
    </row>
    <row r="49" spans="1:22" ht="14.4" x14ac:dyDescent="0.3">
      <c r="A49" s="55" t="s">
        <v>100</v>
      </c>
      <c r="B49" s="6">
        <v>6</v>
      </c>
      <c r="C49" s="31">
        <f>1-D49</f>
        <v>0.99146200762227576</v>
      </c>
      <c r="D49" s="31">
        <f>(D43-B49)/(D43-P62)</f>
        <v>8.5379923777242003E-3</v>
      </c>
      <c r="E49" s="15">
        <f t="shared" ref="E49:E53" si="17">C49+D49</f>
        <v>1</v>
      </c>
      <c r="M49" s="19">
        <v>27</v>
      </c>
      <c r="N49" s="20">
        <f t="shared" si="11"/>
        <v>35625</v>
      </c>
      <c r="O49" s="20">
        <f t="shared" si="7"/>
        <v>14238.517613371518</v>
      </c>
      <c r="P49" s="20">
        <f t="shared" si="8"/>
        <v>384439.97556103097</v>
      </c>
      <c r="S49" s="19">
        <v>27</v>
      </c>
      <c r="T49" s="20">
        <f t="shared" si="15"/>
        <v>36875</v>
      </c>
      <c r="U49" s="20">
        <f t="shared" si="16"/>
        <v>14718.895739702182</v>
      </c>
      <c r="V49" s="20">
        <f t="shared" si="10"/>
        <v>397410.18497195892</v>
      </c>
    </row>
    <row r="50" spans="1:22" ht="14.4" x14ac:dyDescent="0.3">
      <c r="A50" s="55" t="s">
        <v>101</v>
      </c>
      <c r="B50" s="22">
        <v>6</v>
      </c>
      <c r="C50" s="32">
        <f>1-D50</f>
        <v>0.99445386806446012</v>
      </c>
      <c r="D50" s="32">
        <f>(D43-B50)/(D43-V82)</f>
        <v>5.5461319355398905E-3</v>
      </c>
      <c r="E50" s="15">
        <f>C50+D50</f>
        <v>1</v>
      </c>
      <c r="M50" s="19">
        <v>28</v>
      </c>
      <c r="N50" s="20">
        <f t="shared" si="11"/>
        <v>35625</v>
      </c>
      <c r="O50" s="20">
        <f t="shared" si="7"/>
        <v>13763.005764217793</v>
      </c>
      <c r="P50" s="20">
        <f t="shared" si="8"/>
        <v>385364.16139809822</v>
      </c>
      <c r="S50" s="19">
        <v>28</v>
      </c>
      <c r="T50" s="20">
        <f t="shared" si="15"/>
        <v>36875</v>
      </c>
      <c r="U50" s="20">
        <f t="shared" si="16"/>
        <v>14226.653527645642</v>
      </c>
      <c r="V50" s="20">
        <f t="shared" si="10"/>
        <v>398346.29877407796</v>
      </c>
    </row>
    <row r="51" spans="1:22" ht="15" customHeight="1" x14ac:dyDescent="0.3">
      <c r="A51" s="56" t="s">
        <v>58</v>
      </c>
      <c r="B51" s="6">
        <v>7</v>
      </c>
      <c r="C51" s="31">
        <f t="shared" ref="C51" si="18">1-D51</f>
        <v>0.9751124587875627</v>
      </c>
      <c r="D51" s="8">
        <f>(J47-B51)/(J47-P62)</f>
        <v>2.4887541212437275E-2</v>
      </c>
      <c r="E51" s="24">
        <f>D51+C51</f>
        <v>1</v>
      </c>
      <c r="M51" s="19">
        <v>29</v>
      </c>
      <c r="N51" s="20">
        <f t="shared" si="11"/>
        <v>35625</v>
      </c>
      <c r="O51" s="20">
        <f t="shared" si="7"/>
        <v>13303.374186088437</v>
      </c>
      <c r="P51" s="20">
        <f t="shared" si="8"/>
        <v>385797.85139656469</v>
      </c>
      <c r="S51" s="19">
        <v>29</v>
      </c>
      <c r="T51" s="20">
        <f t="shared" si="15"/>
        <v>36875</v>
      </c>
      <c r="U51" s="20">
        <f t="shared" si="16"/>
        <v>13750.873311082198</v>
      </c>
      <c r="V51" s="20">
        <f t="shared" si="10"/>
        <v>398775.32602138375</v>
      </c>
    </row>
    <row r="52" spans="1:22" ht="14.4" x14ac:dyDescent="0.3">
      <c r="A52" s="56" t="s">
        <v>59</v>
      </c>
      <c r="B52" s="6">
        <v>7</v>
      </c>
      <c r="C52" s="31">
        <f>1-D52</f>
        <v>0.98545300411648995</v>
      </c>
      <c r="D52" s="8">
        <f>(J47-B52)/(J47-V82)</f>
        <v>1.4546995883510097E-2</v>
      </c>
      <c r="E52" s="24">
        <f t="shared" si="17"/>
        <v>1</v>
      </c>
      <c r="M52" s="19">
        <v>30</v>
      </c>
      <c r="N52" s="20">
        <f t="shared" si="11"/>
        <v>35625</v>
      </c>
      <c r="O52" s="20">
        <f t="shared" si="7"/>
        <v>12859.092538870462</v>
      </c>
      <c r="P52" s="20">
        <f t="shared" si="8"/>
        <v>385772.77616611385</v>
      </c>
      <c r="S52" s="19">
        <v>30</v>
      </c>
      <c r="T52" s="20">
        <f t="shared" si="15"/>
        <v>36875</v>
      </c>
      <c r="U52" s="20">
        <f t="shared" si="16"/>
        <v>13291.004553530058</v>
      </c>
      <c r="V52" s="20">
        <f t="shared" si="10"/>
        <v>398730.13660590176</v>
      </c>
    </row>
    <row r="53" spans="1:22" ht="15" customHeight="1" x14ac:dyDescent="0.3">
      <c r="A53" s="56" t="s">
        <v>60</v>
      </c>
      <c r="B53" s="6">
        <v>10</v>
      </c>
      <c r="C53" s="31">
        <f>1-D53</f>
        <v>0.97338251072697102</v>
      </c>
      <c r="D53" s="8">
        <f>(P62-B53)/(P62-V82)</f>
        <v>2.6617489273028937E-2</v>
      </c>
      <c r="E53" s="24">
        <f t="shared" si="17"/>
        <v>1</v>
      </c>
      <c r="M53" s="19">
        <v>31</v>
      </c>
      <c r="N53" s="20">
        <f t="shared" si="11"/>
        <v>35625</v>
      </c>
      <c r="O53" s="20">
        <f t="shared" si="7"/>
        <v>12429.648193775516</v>
      </c>
      <c r="P53" s="20">
        <f t="shared" si="8"/>
        <v>385319.09400704101</v>
      </c>
      <c r="S53" s="19">
        <v>31</v>
      </c>
      <c r="T53" s="20">
        <f t="shared" si="15"/>
        <v>36875</v>
      </c>
      <c r="U53" s="20">
        <f t="shared" si="16"/>
        <v>12846.515130030986</v>
      </c>
      <c r="V53" s="20">
        <f t="shared" si="10"/>
        <v>398241.96903096058</v>
      </c>
    </row>
    <row r="54" spans="1:22" ht="14.4" x14ac:dyDescent="0.3">
      <c r="A54" s="6" t="s">
        <v>61</v>
      </c>
      <c r="B54" s="23">
        <v>200000000</v>
      </c>
      <c r="M54" s="19">
        <v>32</v>
      </c>
      <c r="N54" s="20">
        <f t="shared" si="11"/>
        <v>35625</v>
      </c>
      <c r="O54" s="20">
        <f t="shared" si="7"/>
        <v>12014.545641849611</v>
      </c>
      <c r="P54" s="20">
        <f t="shared" si="8"/>
        <v>384465.46053918754</v>
      </c>
      <c r="S54" s="19">
        <v>32</v>
      </c>
      <c r="T54" s="20">
        <f t="shared" si="15"/>
        <v>36875</v>
      </c>
      <c r="U54" s="20">
        <f t="shared" si="16"/>
        <v>12416.890711415994</v>
      </c>
      <c r="V54" s="20">
        <f t="shared" si="10"/>
        <v>397340.5027653118</v>
      </c>
    </row>
    <row r="55" spans="1:22" ht="14.4" x14ac:dyDescent="0.3">
      <c r="A55" s="6" t="s">
        <v>34</v>
      </c>
      <c r="B55" s="6">
        <v>8</v>
      </c>
      <c r="M55" s="19">
        <v>33</v>
      </c>
      <c r="N55" s="20">
        <f t="shared" si="11"/>
        <v>35625</v>
      </c>
      <c r="O55" s="20">
        <f t="shared" si="7"/>
        <v>11613.305922236344</v>
      </c>
      <c r="P55" s="20">
        <f t="shared" si="8"/>
        <v>383239.09543379938</v>
      </c>
      <c r="S55" s="19">
        <v>33</v>
      </c>
      <c r="T55" s="20">
        <f t="shared" si="15"/>
        <v>36875</v>
      </c>
      <c r="U55" s="20">
        <f t="shared" si="16"/>
        <v>12001.634169162955</v>
      </c>
      <c r="V55" s="20">
        <f t="shared" si="10"/>
        <v>396053.92758237751</v>
      </c>
    </row>
    <row r="56" spans="1:22" ht="14.4" x14ac:dyDescent="0.3">
      <c r="A56" s="6" t="s">
        <v>102</v>
      </c>
      <c r="B56" s="8">
        <f>B11</f>
        <v>6.7100000000000007E-2</v>
      </c>
      <c r="F56" s="91" t="s">
        <v>63</v>
      </c>
      <c r="G56" s="91"/>
      <c r="M56" s="19">
        <v>34</v>
      </c>
      <c r="N56" s="20">
        <f t="shared" si="11"/>
        <v>35625</v>
      </c>
      <c r="O56" s="20">
        <f t="shared" si="7"/>
        <v>11225.466069533946</v>
      </c>
      <c r="P56" s="20">
        <f t="shared" si="8"/>
        <v>381665.84636415419</v>
      </c>
      <c r="S56" s="19">
        <v>34</v>
      </c>
      <c r="T56" s="20">
        <f t="shared" si="15"/>
        <v>36875</v>
      </c>
      <c r="U56" s="20">
        <f t="shared" si="16"/>
        <v>11600.265000157506</v>
      </c>
      <c r="V56" s="20">
        <f t="shared" si="10"/>
        <v>394409.01000535517</v>
      </c>
    </row>
    <row r="57" spans="1:22" ht="14.4" x14ac:dyDescent="0.3">
      <c r="A57" s="6" t="s">
        <v>37</v>
      </c>
      <c r="B57" s="8">
        <f>C11</f>
        <v>6.7900000000000002E-2</v>
      </c>
      <c r="F57" s="58" t="s">
        <v>61</v>
      </c>
      <c r="G57" s="25">
        <f t="shared" ref="G57:G62" si="19">B54</f>
        <v>200000000</v>
      </c>
      <c r="M57" s="19">
        <v>34.200000000000003</v>
      </c>
      <c r="N57" s="20">
        <f>N56+1000000</f>
        <v>1035625</v>
      </c>
      <c r="O57" s="30">
        <f t="shared" si="7"/>
        <v>324116.94535335223</v>
      </c>
      <c r="P57" s="30">
        <f t="shared" si="8"/>
        <v>11084799.531084647</v>
      </c>
      <c r="S57" s="19">
        <v>35</v>
      </c>
      <c r="T57" s="20">
        <f t="shared" si="15"/>
        <v>36875</v>
      </c>
      <c r="U57" s="20">
        <f t="shared" si="16"/>
        <v>11212.318770691578</v>
      </c>
      <c r="V57" s="20">
        <f t="shared" si="10"/>
        <v>392431.15697420522</v>
      </c>
    </row>
    <row r="58" spans="1:22" ht="14.4" x14ac:dyDescent="0.3">
      <c r="A58" s="6" t="s">
        <v>64</v>
      </c>
      <c r="B58" s="26">
        <f>D11</f>
        <v>6.9099999999999995E-2</v>
      </c>
      <c r="F58" s="58" t="s">
        <v>65</v>
      </c>
      <c r="G58" s="19">
        <f t="shared" si="19"/>
        <v>8</v>
      </c>
      <c r="O58" s="20">
        <f>SUM(O23:O57)</f>
        <v>1030326.3210542498</v>
      </c>
      <c r="P58" s="20">
        <f>SUM(P23:P57)</f>
        <v>21184454.039542209</v>
      </c>
      <c r="S58" s="19">
        <v>36</v>
      </c>
      <c r="T58" s="20">
        <f t="shared" si="15"/>
        <v>36875</v>
      </c>
      <c r="U58" s="20">
        <f t="shared" si="16"/>
        <v>10837.346579056231</v>
      </c>
      <c r="V58" s="20">
        <f t="shared" si="10"/>
        <v>390144.47684602434</v>
      </c>
    </row>
    <row r="59" spans="1:22" ht="14.4" x14ac:dyDescent="0.3">
      <c r="A59" s="21" t="s">
        <v>66</v>
      </c>
      <c r="B59" s="27">
        <f>E11</f>
        <v>6.9199999999999998E-2</v>
      </c>
      <c r="F59" s="58" t="s">
        <v>62</v>
      </c>
      <c r="G59" s="27">
        <f t="shared" si="19"/>
        <v>6.7100000000000007E-2</v>
      </c>
      <c r="O59" s="92" t="s">
        <v>24</v>
      </c>
      <c r="P59" s="19">
        <f>P58/O58</f>
        <v>20.560917067386832</v>
      </c>
      <c r="S59" s="19">
        <v>37</v>
      </c>
      <c r="T59" s="20">
        <f t="shared" si="15"/>
        <v>36875</v>
      </c>
      <c r="U59" s="20">
        <f t="shared" si="16"/>
        <v>10474.914536106931</v>
      </c>
      <c r="V59" s="20">
        <f>U59*S59</f>
        <v>387571.83783595648</v>
      </c>
    </row>
    <row r="60" spans="1:22" ht="14.4" x14ac:dyDescent="0.3">
      <c r="B60" s="1"/>
      <c r="F60" s="58" t="s">
        <v>37</v>
      </c>
      <c r="G60" s="27">
        <f t="shared" si="19"/>
        <v>6.7900000000000002E-2</v>
      </c>
      <c r="O60" s="93"/>
      <c r="P60" s="19">
        <f>P59/2</f>
        <v>10.280458533693416</v>
      </c>
      <c r="S60" s="19">
        <v>38</v>
      </c>
      <c r="T60" s="20">
        <f t="shared" si="15"/>
        <v>36875</v>
      </c>
      <c r="U60" s="20">
        <f t="shared" si="16"/>
        <v>10124.603263200204</v>
      </c>
      <c r="V60" s="20">
        <f>U60*S60</f>
        <v>384734.92400160775</v>
      </c>
    </row>
    <row r="61" spans="1:22" ht="14.4" x14ac:dyDescent="0.3">
      <c r="B61" s="1"/>
      <c r="D61" s="16"/>
      <c r="F61" s="58" t="s">
        <v>64</v>
      </c>
      <c r="G61" s="27">
        <f t="shared" si="19"/>
        <v>6.9099999999999995E-2</v>
      </c>
      <c r="O61" s="18"/>
      <c r="P61">
        <f>1+(C11/C3)</f>
        <v>1.0339499999999999</v>
      </c>
      <c r="S61" s="19">
        <v>39</v>
      </c>
      <c r="T61" s="20">
        <f t="shared" si="15"/>
        <v>36875</v>
      </c>
      <c r="U61" s="20">
        <f t="shared" si="16"/>
        <v>9786.0074069207476</v>
      </c>
      <c r="V61" s="20">
        <f>U61*S61</f>
        <v>381654.28886990913</v>
      </c>
    </row>
    <row r="62" spans="1:22" ht="15" customHeight="1" x14ac:dyDescent="0.3">
      <c r="F62" s="58" t="s">
        <v>66</v>
      </c>
      <c r="G62" s="27">
        <f t="shared" si="19"/>
        <v>6.9199999999999998E-2</v>
      </c>
      <c r="P62">
        <f>P60/P61</f>
        <v>9.9428971746152293</v>
      </c>
      <c r="S62" s="19">
        <v>40</v>
      </c>
      <c r="T62" s="20">
        <f t="shared" si="15"/>
        <v>36875</v>
      </c>
      <c r="U62" s="20">
        <f t="shared" si="16"/>
        <v>9458.7351700374511</v>
      </c>
      <c r="V62" s="20">
        <f t="shared" si="10"/>
        <v>378349.40680149803</v>
      </c>
    </row>
    <row r="63" spans="1:22" ht="14.4" x14ac:dyDescent="0.3">
      <c r="S63" s="19">
        <v>41</v>
      </c>
      <c r="T63" s="20">
        <f t="shared" si="15"/>
        <v>36875</v>
      </c>
      <c r="U63" s="20">
        <f t="shared" si="16"/>
        <v>9142.4078581456142</v>
      </c>
      <c r="V63" s="20">
        <f t="shared" si="10"/>
        <v>374838.72218397021</v>
      </c>
    </row>
    <row r="64" spans="1:22" ht="14.4" x14ac:dyDescent="0.3">
      <c r="A64" s="94" t="s">
        <v>38</v>
      </c>
      <c r="B64" s="94"/>
      <c r="C64" s="94"/>
      <c r="D64" s="94"/>
      <c r="S64" s="19">
        <v>42</v>
      </c>
      <c r="T64" s="20">
        <f t="shared" si="15"/>
        <v>36875</v>
      </c>
      <c r="U64" s="20">
        <f t="shared" si="16"/>
        <v>8836.6594414707251</v>
      </c>
      <c r="V64" s="20">
        <f>U64*S64</f>
        <v>371139.69654177048</v>
      </c>
    </row>
    <row r="65" spans="1:22" ht="14.4" x14ac:dyDescent="0.3">
      <c r="A65" s="57" t="s">
        <v>67</v>
      </c>
      <c r="B65" s="57" t="s">
        <v>40</v>
      </c>
      <c r="C65" s="57" t="s">
        <v>41</v>
      </c>
      <c r="D65" s="57" t="s">
        <v>22</v>
      </c>
      <c r="S65" s="19">
        <v>43</v>
      </c>
      <c r="T65" s="20">
        <f t="shared" si="15"/>
        <v>36875</v>
      </c>
      <c r="U65" s="20">
        <f t="shared" si="16"/>
        <v>8541.1361313268189</v>
      </c>
      <c r="V65" s="20">
        <f>U65*S65</f>
        <v>367268.85364705324</v>
      </c>
    </row>
    <row r="66" spans="1:22" ht="14.4" x14ac:dyDescent="0.3">
      <c r="A66" s="72" t="s">
        <v>99</v>
      </c>
      <c r="B66" s="25">
        <f>C48*$B$54</f>
        <v>192917649.9080511</v>
      </c>
      <c r="C66" s="25">
        <f>D48*$B$54</f>
        <v>7082350.0919489181</v>
      </c>
      <c r="D66" s="25">
        <f>C66+B66</f>
        <v>200000000.00000003</v>
      </c>
      <c r="S66" s="19">
        <v>44</v>
      </c>
      <c r="T66" s="20">
        <f t="shared" si="15"/>
        <v>36875</v>
      </c>
      <c r="U66" s="20">
        <f t="shared" si="16"/>
        <v>8255.4959707392391</v>
      </c>
      <c r="V66" s="20">
        <f>U66*S66</f>
        <v>363241.82271252654</v>
      </c>
    </row>
    <row r="67" spans="1:22" ht="14.4" x14ac:dyDescent="0.3">
      <c r="A67" s="72" t="s">
        <v>100</v>
      </c>
      <c r="B67" s="25">
        <f t="shared" ref="B67:C71" si="20">C49*$B$54</f>
        <v>198292401.52445516</v>
      </c>
      <c r="C67" s="25">
        <f>D49*$B$54</f>
        <v>1707598.4755448401</v>
      </c>
      <c r="D67" s="25">
        <f t="shared" ref="D67:D71" si="21">C67+B67</f>
        <v>200000000</v>
      </c>
      <c r="S67" s="19">
        <v>45</v>
      </c>
      <c r="T67" s="20">
        <f t="shared" si="15"/>
        <v>36875</v>
      </c>
      <c r="U67" s="20">
        <f t="shared" si="16"/>
        <v>7979.4084387582061</v>
      </c>
      <c r="V67" s="20">
        <f>U67*S67</f>
        <v>359073.3797441193</v>
      </c>
    </row>
    <row r="68" spans="1:22" ht="14.4" x14ac:dyDescent="0.3">
      <c r="A68" s="72" t="s">
        <v>101</v>
      </c>
      <c r="B68" s="25">
        <f t="shared" si="20"/>
        <v>198890773.61289203</v>
      </c>
      <c r="C68" s="25">
        <f t="shared" si="20"/>
        <v>1109226.3871079781</v>
      </c>
      <c r="D68" s="25">
        <f t="shared" si="21"/>
        <v>200000000</v>
      </c>
      <c r="S68" s="19">
        <v>46</v>
      </c>
      <c r="T68" s="20">
        <f t="shared" si="15"/>
        <v>36875</v>
      </c>
      <c r="U68" s="20">
        <f t="shared" si="16"/>
        <v>7712.5540680052245</v>
      </c>
      <c r="V68" s="20">
        <f>U68*S68</f>
        <v>354777.48712824035</v>
      </c>
    </row>
    <row r="69" spans="1:22" ht="14.4" x14ac:dyDescent="0.3">
      <c r="A69" s="72" t="s">
        <v>58</v>
      </c>
      <c r="B69" s="25">
        <f t="shared" si="20"/>
        <v>195022491.75751254</v>
      </c>
      <c r="C69" s="25">
        <f t="shared" si="20"/>
        <v>4977508.2424874548</v>
      </c>
      <c r="D69" s="25">
        <f t="shared" si="21"/>
        <v>200000000</v>
      </c>
      <c r="S69" s="19">
        <v>47</v>
      </c>
      <c r="T69" s="20">
        <f t="shared" si="15"/>
        <v>36875</v>
      </c>
      <c r="U69" s="20">
        <f t="shared" si="16"/>
        <v>7454.6240750098841</v>
      </c>
      <c r="V69" s="20">
        <f t="shared" si="10"/>
        <v>350367.33152546454</v>
      </c>
    </row>
    <row r="70" spans="1:22" ht="14.4" x14ac:dyDescent="0.3">
      <c r="A70" s="72" t="s">
        <v>59</v>
      </c>
      <c r="B70" s="25">
        <f t="shared" si="20"/>
        <v>197090600.82329798</v>
      </c>
      <c r="C70" s="25">
        <f t="shared" si="20"/>
        <v>2909399.1767020193</v>
      </c>
      <c r="D70" s="25">
        <f t="shared" si="21"/>
        <v>200000000</v>
      </c>
      <c r="S70" s="19">
        <v>48</v>
      </c>
      <c r="T70" s="20">
        <f t="shared" si="15"/>
        <v>36875</v>
      </c>
      <c r="U70" s="20">
        <f t="shared" si="16"/>
        <v>7205.3200029092231</v>
      </c>
      <c r="V70" s="20">
        <f>U70*S70</f>
        <v>345855.36013964273</v>
      </c>
    </row>
    <row r="71" spans="1:22" ht="14.4" x14ac:dyDescent="0.3">
      <c r="A71" s="72" t="s">
        <v>60</v>
      </c>
      <c r="B71" s="25">
        <f t="shared" si="20"/>
        <v>194676502.14539421</v>
      </c>
      <c r="C71" s="25">
        <f t="shared" si="20"/>
        <v>5323497.8546057874</v>
      </c>
      <c r="D71" s="25">
        <f t="shared" si="21"/>
        <v>200000000</v>
      </c>
      <c r="S71" s="19">
        <v>49</v>
      </c>
      <c r="T71" s="20">
        <f t="shared" si="15"/>
        <v>36875</v>
      </c>
      <c r="U71" s="20">
        <f t="shared" si="16"/>
        <v>6964.3533760962928</v>
      </c>
      <c r="V71" s="20">
        <f t="shared" si="10"/>
        <v>341253.31542871834</v>
      </c>
    </row>
    <row r="72" spans="1:22" ht="15" customHeight="1" x14ac:dyDescent="0.3">
      <c r="S72" s="19">
        <v>50</v>
      </c>
      <c r="T72" s="20">
        <f t="shared" si="15"/>
        <v>36875</v>
      </c>
      <c r="U72" s="20">
        <f t="shared" si="16"/>
        <v>6731.445366418222</v>
      </c>
      <c r="V72" s="20">
        <f t="shared" si="10"/>
        <v>336572.2683209111</v>
      </c>
    </row>
    <row r="73" spans="1:22" ht="15" customHeight="1" x14ac:dyDescent="0.3">
      <c r="S73" s="19">
        <v>51</v>
      </c>
      <c r="T73" s="20">
        <f t="shared" si="15"/>
        <v>36875</v>
      </c>
      <c r="U73" s="20">
        <f t="shared" si="16"/>
        <v>6506.3264705376214</v>
      </c>
      <c r="V73" s="20">
        <f t="shared" si="10"/>
        <v>331822.64999741869</v>
      </c>
    </row>
    <row r="74" spans="1:22" ht="14.4" x14ac:dyDescent="0.3">
      <c r="A74" s="85" t="s">
        <v>42</v>
      </c>
      <c r="B74" s="85"/>
      <c r="C74" s="85"/>
      <c r="D74" s="85"/>
      <c r="S74" s="19">
        <v>52</v>
      </c>
      <c r="T74" s="20">
        <f t="shared" si="15"/>
        <v>36875</v>
      </c>
      <c r="U74" s="20">
        <f t="shared" si="16"/>
        <v>6288.7361980839169</v>
      </c>
      <c r="V74" s="20">
        <f t="shared" si="10"/>
        <v>327014.2823003637</v>
      </c>
    </row>
    <row r="75" spans="1:22" ht="14.4" x14ac:dyDescent="0.3">
      <c r="A75" s="48" t="s">
        <v>43</v>
      </c>
      <c r="B75" s="48" t="s">
        <v>40</v>
      </c>
      <c r="C75" s="48" t="s">
        <v>41</v>
      </c>
      <c r="D75" s="48" t="s">
        <v>22</v>
      </c>
      <c r="S75" s="19">
        <v>53</v>
      </c>
      <c r="T75" s="20">
        <f t="shared" si="15"/>
        <v>36875</v>
      </c>
      <c r="U75" s="20">
        <f t="shared" si="16"/>
        <v>6078.4227702338267</v>
      </c>
      <c r="V75" s="20">
        <f t="shared" si="10"/>
        <v>322156.40682239283</v>
      </c>
    </row>
    <row r="76" spans="1:22" ht="14.4" x14ac:dyDescent="0.3">
      <c r="A76" s="72" t="s">
        <v>99</v>
      </c>
      <c r="B76" s="11">
        <f>B66/(1+B56/2)^($B$55*2)</f>
        <v>113780569.11791459</v>
      </c>
      <c r="C76" s="11">
        <f>C66/(1+B57/2)^($B$55*2)</f>
        <v>4151306.4097597022</v>
      </c>
      <c r="D76" s="11">
        <f>SUM(B76:C76)</f>
        <v>117931875.52767429</v>
      </c>
      <c r="S76" s="19">
        <v>54</v>
      </c>
      <c r="T76" s="20">
        <f t="shared" si="15"/>
        <v>36875</v>
      </c>
      <c r="U76" s="20">
        <f t="shared" si="16"/>
        <v>5875.1428283721498</v>
      </c>
      <c r="V76" s="20">
        <f t="shared" si="10"/>
        <v>317257.71273209609</v>
      </c>
    </row>
    <row r="77" spans="1:22" ht="14.4" x14ac:dyDescent="0.3">
      <c r="A77" s="72" t="s">
        <v>100</v>
      </c>
      <c r="B77" s="11">
        <f>B67/(1+B56/2)^($B$55*2)</f>
        <v>116950534.63466932</v>
      </c>
      <c r="C77" s="11">
        <f>C67/(1+B58/2)^($B$55*2)</f>
        <v>991658.17785009474</v>
      </c>
      <c r="D77" s="11">
        <f t="shared" ref="D77:D81" si="22">SUM(B77:C77)</f>
        <v>117942192.81251942</v>
      </c>
      <c r="S77" s="19">
        <v>54.4</v>
      </c>
      <c r="T77" s="20">
        <f>T76+1000000</f>
        <v>1036875</v>
      </c>
      <c r="U77" s="30">
        <f t="shared" si="16"/>
        <v>162968.55462693141</v>
      </c>
      <c r="V77" s="30">
        <f>U77*S77</f>
        <v>8865489.3717050683</v>
      </c>
    </row>
    <row r="78" spans="1:22" ht="14.4" x14ac:dyDescent="0.3">
      <c r="A78" s="72" t="s">
        <v>101</v>
      </c>
      <c r="B78" s="11">
        <f>B68/(1+B56/2)^($B$55*2)</f>
        <v>117303447.48011956</v>
      </c>
      <c r="C78" s="11">
        <f>C68/(1+B59/2)^($B$55*2)</f>
        <v>643666.05622418481</v>
      </c>
      <c r="D78" s="11">
        <f>SUM(B78:C78)</f>
        <v>117947113.53634374</v>
      </c>
      <c r="T78" s="18"/>
      <c r="U78" s="20">
        <f>SUM(U23:U77)</f>
        <v>1058918.1838647306</v>
      </c>
      <c r="V78" s="30">
        <f>SUM(V23:V77)</f>
        <v>26486638.899951629</v>
      </c>
    </row>
    <row r="79" spans="1:22" ht="14.4" x14ac:dyDescent="0.3">
      <c r="A79" s="72" t="s">
        <v>58</v>
      </c>
      <c r="B79" s="11">
        <f>B69/(1+B57/2)^($B$55*2)</f>
        <v>114312072.9093308</v>
      </c>
      <c r="C79" s="11">
        <f>C69/(1+B58/2)^($B$55*2)</f>
        <v>2890601.5229394143</v>
      </c>
      <c r="D79" s="11">
        <f t="shared" si="22"/>
        <v>117202674.43227021</v>
      </c>
      <c r="T79" s="18"/>
      <c r="U79" s="18"/>
      <c r="V79" s="19">
        <f>V78/U78</f>
        <v>25.012922909004565</v>
      </c>
    </row>
    <row r="80" spans="1:22" ht="14.4" x14ac:dyDescent="0.3">
      <c r="A80" s="72" t="s">
        <v>59</v>
      </c>
      <c r="B80" s="11">
        <f>B70/(1+B57/2)^($B$55*2)</f>
        <v>115524291.21390697</v>
      </c>
      <c r="C80" s="11">
        <f>C70/(1+B59/2)^($B$55*2)</f>
        <v>1688277.0873601495</v>
      </c>
      <c r="D80" s="11">
        <f t="shared" si="22"/>
        <v>117212568.30126712</v>
      </c>
      <c r="T80" s="18"/>
      <c r="U80" s="18"/>
      <c r="V80" s="19">
        <f>V79/2</f>
        <v>12.506461454502283</v>
      </c>
    </row>
    <row r="81" spans="1:22" ht="14.4" x14ac:dyDescent="0.3">
      <c r="A81" s="72" t="s">
        <v>60</v>
      </c>
      <c r="B81" s="11">
        <f>B71/(1+B59/2)^($B$55*2)</f>
        <v>112967612.23121436</v>
      </c>
      <c r="C81" s="11">
        <f>C71/(1+B59/2)^($B$55*2)</f>
        <v>3089139.340009639</v>
      </c>
      <c r="D81" s="11">
        <f t="shared" si="22"/>
        <v>116056751.571224</v>
      </c>
      <c r="T81" s="18"/>
      <c r="U81" s="18"/>
      <c r="V81">
        <f>1+(E11/E3)</f>
        <v>1.0346</v>
      </c>
    </row>
    <row r="82" spans="1:22" ht="14.4" x14ac:dyDescent="0.3">
      <c r="B82" s="2"/>
      <c r="C82" s="2"/>
      <c r="D82" s="2"/>
      <c r="T82" s="18"/>
      <c r="U82" s="18"/>
      <c r="V82">
        <f>V80/V81</f>
        <v>12.088209408952526</v>
      </c>
    </row>
    <row r="83" spans="1:22" ht="14.4" x14ac:dyDescent="0.3">
      <c r="B83" s="2"/>
      <c r="C83" s="2"/>
      <c r="D83" s="2"/>
      <c r="T83" s="18"/>
      <c r="U83" s="18"/>
      <c r="V83" s="18"/>
    </row>
    <row r="84" spans="1:22" ht="15" customHeight="1" x14ac:dyDescent="0.3">
      <c r="T84" s="18"/>
      <c r="U84" s="18"/>
      <c r="V84" s="18"/>
    </row>
    <row r="85" spans="1:22" ht="15" customHeight="1" x14ac:dyDescent="0.3">
      <c r="T85" s="18"/>
      <c r="U85" s="18"/>
      <c r="V85" s="18"/>
    </row>
    <row r="86" spans="1:22" ht="14.4" x14ac:dyDescent="0.3">
      <c r="A86" t="s">
        <v>44</v>
      </c>
      <c r="T86" s="18"/>
      <c r="U86" s="18"/>
      <c r="V86" s="18"/>
    </row>
    <row r="87" spans="1:22" ht="15" customHeight="1" x14ac:dyDescent="0.3">
      <c r="T87" s="18"/>
      <c r="U87" s="18"/>
      <c r="V87" s="18"/>
    </row>
    <row r="88" spans="1:22" ht="14.4" x14ac:dyDescent="0.3">
      <c r="A88" s="81" t="s">
        <v>99</v>
      </c>
      <c r="B88" s="74" t="s">
        <v>27</v>
      </c>
      <c r="C88" s="33">
        <f>C48</f>
        <v>0.96458824954025546</v>
      </c>
      <c r="D88" s="25">
        <f>C88*D76</f>
        <v>113755701.38023864</v>
      </c>
      <c r="E88" s="83">
        <f>SUM(D88:D89)</f>
        <v>117931875.5276743</v>
      </c>
      <c r="T88" s="18"/>
      <c r="U88" s="18"/>
      <c r="V88" s="18"/>
    </row>
    <row r="89" spans="1:22" ht="14.4" x14ac:dyDescent="0.3">
      <c r="A89" s="82"/>
      <c r="B89" s="74" t="s">
        <v>28</v>
      </c>
      <c r="C89" s="33">
        <f>D48</f>
        <v>3.5411750459744588E-2</v>
      </c>
      <c r="D89" s="25">
        <f>C89*D76</f>
        <v>4176174.1474356614</v>
      </c>
      <c r="E89" s="84"/>
      <c r="T89" s="18"/>
      <c r="U89" s="18"/>
      <c r="V89" s="18"/>
    </row>
    <row r="90" spans="1:22" ht="15" customHeight="1" x14ac:dyDescent="0.3">
      <c r="A90" s="74"/>
      <c r="B90" s="74"/>
      <c r="C90" s="19"/>
      <c r="D90" s="19"/>
      <c r="E90" s="73"/>
      <c r="T90" s="18"/>
      <c r="U90" s="18"/>
      <c r="V90" s="18"/>
    </row>
    <row r="91" spans="1:22" ht="14.4" x14ac:dyDescent="0.3">
      <c r="A91" s="81" t="s">
        <v>100</v>
      </c>
      <c r="B91" s="74" t="s">
        <v>27</v>
      </c>
      <c r="C91" s="33">
        <f>C49</f>
        <v>0.99146200762227576</v>
      </c>
      <c r="D91" s="25">
        <f>C91*D77</f>
        <v>116935203.26927404</v>
      </c>
      <c r="E91" s="83">
        <f>SUM(D91:D92)</f>
        <v>117942192.81251942</v>
      </c>
      <c r="T91" s="18"/>
      <c r="U91" s="18"/>
      <c r="V91" s="18"/>
    </row>
    <row r="92" spans="1:22" ht="14.4" x14ac:dyDescent="0.3">
      <c r="A92" s="82"/>
      <c r="B92" s="74" t="s">
        <v>28</v>
      </c>
      <c r="C92" s="33">
        <f>D49</f>
        <v>8.5379923777242003E-3</v>
      </c>
      <c r="D92" s="25">
        <f>C92*D77</f>
        <v>1006989.5432453688</v>
      </c>
      <c r="E92" s="84"/>
      <c r="U92" s="18"/>
      <c r="V92" s="18"/>
    </row>
    <row r="93" spans="1:22" ht="15" customHeight="1" x14ac:dyDescent="0.3">
      <c r="A93" s="74"/>
      <c r="B93" s="74"/>
      <c r="C93" s="19"/>
      <c r="D93" s="19"/>
      <c r="E93" s="73"/>
    </row>
    <row r="94" spans="1:22" ht="14.4" x14ac:dyDescent="0.3">
      <c r="A94" s="81" t="s">
        <v>101</v>
      </c>
      <c r="B94" s="74" t="s">
        <v>27</v>
      </c>
      <c r="C94" s="33">
        <f>C50</f>
        <v>0.99445386806446012</v>
      </c>
      <c r="D94" s="25">
        <f>C94*D78</f>
        <v>117292963.28325507</v>
      </c>
      <c r="E94" s="83">
        <f>SUM(D94:D95)</f>
        <v>117947113.53634374</v>
      </c>
    </row>
    <row r="95" spans="1:22" ht="14.4" x14ac:dyDescent="0.3">
      <c r="A95" s="82"/>
      <c r="B95" s="74" t="s">
        <v>28</v>
      </c>
      <c r="C95" s="33">
        <f>D50</f>
        <v>5.5461319355398905E-3</v>
      </c>
      <c r="D95" s="25">
        <f>C95*D78</f>
        <v>654150.25308866531</v>
      </c>
      <c r="E95" s="84"/>
    </row>
    <row r="96" spans="1:22" ht="14.4" x14ac:dyDescent="0.3">
      <c r="A96" s="74"/>
      <c r="B96" s="74"/>
      <c r="C96" s="33"/>
      <c r="D96" s="25"/>
      <c r="E96" s="74"/>
    </row>
    <row r="97" spans="1:6" ht="14.4" x14ac:dyDescent="0.3">
      <c r="A97" s="81" t="s">
        <v>58</v>
      </c>
      <c r="B97" s="74" t="s">
        <v>27</v>
      </c>
      <c r="C97" s="33">
        <f>C50</f>
        <v>0.99445386806446012</v>
      </c>
      <c r="D97" s="25">
        <f>C97*D79</f>
        <v>116552652.93667072</v>
      </c>
      <c r="E97" s="83">
        <f>SUM(D97:D98)</f>
        <v>117202674.43227021</v>
      </c>
    </row>
    <row r="98" spans="1:6" ht="14.4" x14ac:dyDescent="0.3">
      <c r="A98" s="82"/>
      <c r="B98" s="74" t="s">
        <v>28</v>
      </c>
      <c r="C98" s="33">
        <f>D50</f>
        <v>5.5461319355398905E-3</v>
      </c>
      <c r="D98" s="25">
        <f>C98*D79</f>
        <v>650021.49559949839</v>
      </c>
      <c r="E98" s="84"/>
    </row>
    <row r="99" spans="1:6" ht="14.4" x14ac:dyDescent="0.3">
      <c r="A99" s="74"/>
      <c r="B99" s="74"/>
      <c r="C99" s="33"/>
      <c r="D99" s="25"/>
      <c r="E99" s="74"/>
    </row>
    <row r="100" spans="1:6" ht="14.4" x14ac:dyDescent="0.3">
      <c r="A100" s="81" t="s">
        <v>59</v>
      </c>
      <c r="B100" s="74" t="s">
        <v>27</v>
      </c>
      <c r="C100" s="33">
        <f>C51</f>
        <v>0.9751124587875627</v>
      </c>
      <c r="D100" s="25">
        <f>C100*D80</f>
        <v>114295435.6770537</v>
      </c>
      <c r="E100" s="83">
        <f>SUM(D100:D101)</f>
        <v>117212568.3012671</v>
      </c>
    </row>
    <row r="101" spans="1:6" ht="14.4" x14ac:dyDescent="0.3">
      <c r="A101" s="82"/>
      <c r="B101" s="74" t="s">
        <v>28</v>
      </c>
      <c r="C101" s="33">
        <f>D51</f>
        <v>2.4887541212437275E-2</v>
      </c>
      <c r="D101" s="25">
        <f>C101*D80</f>
        <v>2917132.6242134045</v>
      </c>
      <c r="E101" s="84"/>
    </row>
    <row r="102" spans="1:6" ht="14.4" x14ac:dyDescent="0.3">
      <c r="A102" s="74"/>
      <c r="B102" s="74"/>
      <c r="C102" s="33"/>
      <c r="D102" s="25"/>
      <c r="E102" s="74"/>
    </row>
    <row r="103" spans="1:6" ht="14.4" x14ac:dyDescent="0.3">
      <c r="A103" s="81" t="s">
        <v>60</v>
      </c>
      <c r="B103" s="74" t="s">
        <v>27</v>
      </c>
      <c r="C103" s="33">
        <f>C53</f>
        <v>0.97338251072697102</v>
      </c>
      <c r="D103" s="25">
        <f>C103*D81</f>
        <v>112967612.23121436</v>
      </c>
      <c r="E103" s="83">
        <f>SUM(D103:D104)</f>
        <v>116056751.571224</v>
      </c>
    </row>
    <row r="104" spans="1:6" ht="14.4" x14ac:dyDescent="0.3">
      <c r="A104" s="82"/>
      <c r="B104" s="74" t="s">
        <v>28</v>
      </c>
      <c r="C104" s="33">
        <f>D53</f>
        <v>2.6617489273028937E-2</v>
      </c>
      <c r="D104" s="25">
        <f>C104*D81</f>
        <v>3089139.340009639</v>
      </c>
      <c r="E104" s="84"/>
    </row>
    <row r="107" spans="1:6" ht="14.4" x14ac:dyDescent="0.3">
      <c r="A107" t="s">
        <v>46</v>
      </c>
    </row>
    <row r="110" spans="1:6" ht="14.4" x14ac:dyDescent="0.3">
      <c r="A110" s="81" t="s">
        <v>99</v>
      </c>
      <c r="B110" s="74" t="s">
        <v>98</v>
      </c>
      <c r="C110" s="27">
        <f>B5</f>
        <v>0.995</v>
      </c>
      <c r="D110" s="77">
        <v>1000000</v>
      </c>
      <c r="E110" s="78">
        <f>C110*D110</f>
        <v>995000</v>
      </c>
      <c r="F110" s="80">
        <f>_xlfn.CEILING.MATH(D88/E110)</f>
        <v>115</v>
      </c>
    </row>
    <row r="111" spans="1:6" ht="14.4" x14ac:dyDescent="0.3">
      <c r="A111" s="82"/>
      <c r="B111" s="74" t="s">
        <v>3</v>
      </c>
      <c r="C111" s="27">
        <f>C5</f>
        <v>1.091</v>
      </c>
      <c r="D111" s="77">
        <v>1000000</v>
      </c>
      <c r="E111" s="78">
        <f>C111*D111</f>
        <v>1091000</v>
      </c>
      <c r="F111" s="80">
        <f>_xlfn.CEILING.MATH(D89/E111)</f>
        <v>4</v>
      </c>
    </row>
    <row r="112" spans="1:6" ht="15" customHeight="1" x14ac:dyDescent="0.3">
      <c r="A112" s="74"/>
      <c r="B112" s="74"/>
      <c r="C112" s="19"/>
      <c r="D112" s="19"/>
      <c r="E112" s="19"/>
      <c r="F112" s="79"/>
    </row>
    <row r="113" spans="1:6" ht="14.4" x14ac:dyDescent="0.3">
      <c r="A113" s="81" t="s">
        <v>100</v>
      </c>
      <c r="B113" s="74" t="s">
        <v>98</v>
      </c>
      <c r="C113" s="27">
        <f>B5</f>
        <v>0.995</v>
      </c>
      <c r="D113" s="77">
        <v>1000000</v>
      </c>
      <c r="E113" s="78">
        <f>C113*D113</f>
        <v>995000</v>
      </c>
      <c r="F113" s="80">
        <f>_xlfn.CEILING.MATH(D91/E113)</f>
        <v>118</v>
      </c>
    </row>
    <row r="114" spans="1:6" ht="14.4" x14ac:dyDescent="0.3">
      <c r="A114" s="82"/>
      <c r="B114" s="74" t="s">
        <v>53</v>
      </c>
      <c r="C114" s="27">
        <f>D5</f>
        <v>1.0209999999999999</v>
      </c>
      <c r="D114" s="77">
        <v>1000000</v>
      </c>
      <c r="E114" s="78">
        <f>C114*D114</f>
        <v>1020999.9999999999</v>
      </c>
      <c r="F114" s="80">
        <f>_xlfn.CEILING.MATH(D92/E114)</f>
        <v>1</v>
      </c>
    </row>
    <row r="115" spans="1:6" ht="15" customHeight="1" x14ac:dyDescent="0.3">
      <c r="A115" s="74"/>
      <c r="B115" s="74"/>
      <c r="C115" s="19"/>
      <c r="D115" s="19"/>
      <c r="E115" s="19"/>
      <c r="F115" s="79"/>
    </row>
    <row r="116" spans="1:6" ht="14.4" x14ac:dyDescent="0.3">
      <c r="A116" s="81" t="s">
        <v>101</v>
      </c>
      <c r="B116" s="74" t="s">
        <v>98</v>
      </c>
      <c r="C116" s="27">
        <f>B5</f>
        <v>0.995</v>
      </c>
      <c r="D116" s="77">
        <v>1000000</v>
      </c>
      <c r="E116" s="78">
        <f>C116*D116</f>
        <v>995000</v>
      </c>
      <c r="F116" s="80">
        <f>_xlfn.CEILING.MATH(D94/E116)</f>
        <v>118</v>
      </c>
    </row>
    <row r="117" spans="1:6" ht="14.4" x14ac:dyDescent="0.3">
      <c r="A117" s="82"/>
      <c r="B117" s="74" t="s">
        <v>68</v>
      </c>
      <c r="C117" s="27">
        <f>E5</f>
        <v>0.97750000000000004</v>
      </c>
      <c r="D117" s="77">
        <v>1000000</v>
      </c>
      <c r="E117" s="78">
        <f>C117*D117</f>
        <v>977500</v>
      </c>
      <c r="F117" s="80">
        <f>_xlfn.CEILING.MATH(D95/E117)</f>
        <v>1</v>
      </c>
    </row>
    <row r="118" spans="1:6" ht="15" customHeight="1" x14ac:dyDescent="0.3">
      <c r="A118" s="74"/>
      <c r="B118" s="74"/>
      <c r="C118" s="19"/>
      <c r="D118" s="19"/>
      <c r="E118" s="19"/>
      <c r="F118" s="79"/>
    </row>
    <row r="119" spans="1:6" ht="15" customHeight="1" x14ac:dyDescent="0.3">
      <c r="A119" s="81" t="s">
        <v>58</v>
      </c>
      <c r="B119" s="74" t="s">
        <v>3</v>
      </c>
      <c r="C119" s="27">
        <f>C5</f>
        <v>1.091</v>
      </c>
      <c r="D119" s="77">
        <v>1000000</v>
      </c>
      <c r="E119" s="78">
        <f>D119*C119</f>
        <v>1091000</v>
      </c>
      <c r="F119" s="80">
        <f>_xlfn.CEILING.MATH(D97/E119)</f>
        <v>107</v>
      </c>
    </row>
    <row r="120" spans="1:6" ht="15" customHeight="1" x14ac:dyDescent="0.3">
      <c r="A120" s="82"/>
      <c r="B120" s="74" t="s">
        <v>53</v>
      </c>
      <c r="C120" s="27">
        <f>D5</f>
        <v>1.0209999999999999</v>
      </c>
      <c r="D120" s="77">
        <v>1000000</v>
      </c>
      <c r="E120" s="78">
        <f>D120*C120</f>
        <v>1020999.9999999999</v>
      </c>
      <c r="F120" s="80">
        <f>_xlfn.CEILING.MATH(D98/E120)</f>
        <v>1</v>
      </c>
    </row>
    <row r="121" spans="1:6" ht="15" customHeight="1" x14ac:dyDescent="0.3">
      <c r="A121" s="74"/>
      <c r="B121" s="74"/>
      <c r="C121" s="19"/>
      <c r="D121" s="19"/>
      <c r="E121" s="19"/>
      <c r="F121" s="79"/>
    </row>
    <row r="122" spans="1:6" ht="15" customHeight="1" x14ac:dyDescent="0.3">
      <c r="A122" s="81" t="s">
        <v>59</v>
      </c>
      <c r="B122" s="74" t="s">
        <v>3</v>
      </c>
      <c r="C122" s="27">
        <f>C5</f>
        <v>1.091</v>
      </c>
      <c r="D122" s="77">
        <v>1000000</v>
      </c>
      <c r="E122" s="78">
        <f>D122*C122</f>
        <v>1091000</v>
      </c>
      <c r="F122" s="80">
        <f>_xlfn.CEILING.MATH(D100/E122)</f>
        <v>105</v>
      </c>
    </row>
    <row r="123" spans="1:6" ht="15" customHeight="1" x14ac:dyDescent="0.3">
      <c r="A123" s="82"/>
      <c r="B123" s="74" t="s">
        <v>68</v>
      </c>
      <c r="C123" s="27">
        <f>E5</f>
        <v>0.97750000000000004</v>
      </c>
      <c r="D123" s="77">
        <v>1000000</v>
      </c>
      <c r="E123" s="78">
        <f>D123*C123</f>
        <v>977500</v>
      </c>
      <c r="F123" s="80">
        <f>_xlfn.CEILING.MATH(D101/E123)</f>
        <v>3</v>
      </c>
    </row>
    <row r="124" spans="1:6" ht="15" customHeight="1" x14ac:dyDescent="0.3">
      <c r="A124" s="74"/>
      <c r="B124" s="74"/>
      <c r="C124" s="19"/>
      <c r="D124" s="19"/>
      <c r="E124" s="19"/>
      <c r="F124" s="79"/>
    </row>
    <row r="125" spans="1:6" ht="15" customHeight="1" x14ac:dyDescent="0.3">
      <c r="A125" s="81" t="s">
        <v>60</v>
      </c>
      <c r="B125" s="74" t="s">
        <v>53</v>
      </c>
      <c r="C125" s="27">
        <f>D5</f>
        <v>1.0209999999999999</v>
      </c>
      <c r="D125" s="77">
        <v>1000000</v>
      </c>
      <c r="E125" s="78">
        <f>D125*C125</f>
        <v>1020999.9999999999</v>
      </c>
      <c r="F125" s="80">
        <f>_xlfn.CEILING.MATH(D103/E125)</f>
        <v>111</v>
      </c>
    </row>
    <row r="126" spans="1:6" ht="15" customHeight="1" x14ac:dyDescent="0.3">
      <c r="A126" s="82"/>
      <c r="B126" s="74" t="s">
        <v>68</v>
      </c>
      <c r="C126" s="27">
        <f>E5</f>
        <v>0.97750000000000004</v>
      </c>
      <c r="D126" s="77">
        <v>1000000</v>
      </c>
      <c r="E126" s="78">
        <f>D126*C126</f>
        <v>977500</v>
      </c>
      <c r="F126" s="80">
        <f>_xlfn.CEILING.MATH(D104/E126)</f>
        <v>4</v>
      </c>
    </row>
    <row r="127" spans="1:6" ht="15" customHeight="1" x14ac:dyDescent="0.3">
      <c r="D127" s="4"/>
    </row>
  </sheetData>
  <mergeCells count="28">
    <mergeCell ref="A74:D74"/>
    <mergeCell ref="A14:B14"/>
    <mergeCell ref="G14:H14"/>
    <mergeCell ref="M14:N14"/>
    <mergeCell ref="S14:T14"/>
    <mergeCell ref="C40:C41"/>
    <mergeCell ref="I44:I45"/>
    <mergeCell ref="F56:G56"/>
    <mergeCell ref="O59:O60"/>
    <mergeCell ref="A64:D64"/>
    <mergeCell ref="A88:A89"/>
    <mergeCell ref="E88:E89"/>
    <mergeCell ref="A91:A92"/>
    <mergeCell ref="E91:E92"/>
    <mergeCell ref="A94:A95"/>
    <mergeCell ref="E94:E95"/>
    <mergeCell ref="A125:A126"/>
    <mergeCell ref="A97:A98"/>
    <mergeCell ref="E97:E98"/>
    <mergeCell ref="A100:A101"/>
    <mergeCell ref="E100:E101"/>
    <mergeCell ref="A103:A104"/>
    <mergeCell ref="E103:E104"/>
    <mergeCell ref="A110:A111"/>
    <mergeCell ref="A113:A114"/>
    <mergeCell ref="A116:A117"/>
    <mergeCell ref="A119:A120"/>
    <mergeCell ref="A122:A12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" ma:contentTypeID="0x010100CCBAF6C2229355469BFA4B2974438506" ma:contentTypeVersion="12" ma:contentTypeDescription="Buat sebuah dokumen baru." ma:contentTypeScope="" ma:versionID="86afd0a48603d56a6015e66a339455e0">
  <xsd:schema xmlns:xsd="http://www.w3.org/2001/XMLSchema" xmlns:xs="http://www.w3.org/2001/XMLSchema" xmlns:p="http://schemas.microsoft.com/office/2006/metadata/properties" xmlns:ns3="4929ac01-53aa-415f-af4e-9282611c26c2" targetNamespace="http://schemas.microsoft.com/office/2006/metadata/properties" ma:root="true" ma:fieldsID="2851a892015853b2ca23b29e338949e2" ns3:_="">
    <xsd:import namespace="4929ac01-53aa-415f-af4e-9282611c26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9ac01-53aa-415f-af4e-9282611c26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e Isi"/>
        <xsd:element ref="dc:title" minOccurs="0" maxOccurs="1" ma:index="4" ma:displayName="Judu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929ac01-53aa-415f-af4e-9282611c26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EDBFB1E-4211-4C24-BC8E-40A916D9D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29ac01-53aa-415f-af4e-9282611c26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C5C2389-8BAE-4BFB-B2F7-625DBA6077FB}">
  <ds:schemaRefs>
    <ds:schemaRef ds:uri="http://purl.org/dc/elements/1.1/"/>
    <ds:schemaRef ds:uri="http://schemas.microsoft.com/office/2006/metadata/properties"/>
    <ds:schemaRef ds:uri="4929ac01-53aa-415f-af4e-9282611c26c2"/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792BAC0-F2D9-46B2-A3EE-D5B2D566D1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Perhitungan</vt:lpstr>
      <vt:lpstr>Simulasi Obligasi</vt:lpstr>
      <vt:lpstr>VaR</vt:lpstr>
      <vt:lpstr>Korelasi</vt:lpstr>
      <vt:lpstr>Backtesting</vt:lpstr>
      <vt:lpstr>Simulasi Obligasi (Opsi)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hanif muttaqin</dc:creator>
  <cp:keywords/>
  <dc:description/>
  <cp:lastModifiedBy>Wong, Ryan Sebastian</cp:lastModifiedBy>
  <cp:revision/>
  <cp:lastPrinted>2026-05-28T06:03:44Z</cp:lastPrinted>
  <dcterms:created xsi:type="dcterms:W3CDTF">2026-05-19T22:28:19Z</dcterms:created>
  <dcterms:modified xsi:type="dcterms:W3CDTF">2026-08-03T21:16:46Z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0x010100CCBAF6C2229355469BFA4B2974438506</vt:lpwstr>
  </property>
</Properties>
</file>